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itesh\Desktop\"/>
    </mc:Choice>
  </mc:AlternateContent>
  <xr:revisionPtr revIDLastSave="0" documentId="13_ncr:1_{D7086D94-C5FC-4937-9B52-AE36105C3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DS format" sheetId="2" r:id="rId1"/>
  </sheets>
  <definedNames>
    <definedName name="_xlnm._FilterDatabase" localSheetId="0" hidden="1">'BIDS format'!$A$11:$AC$916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2" i="2" l="1"/>
  <c r="I3" i="2"/>
  <c r="J530" i="2" l="1"/>
  <c r="J512" i="2"/>
  <c r="I512" i="2"/>
  <c r="I387" i="2"/>
  <c r="I135" i="2" l="1"/>
  <c r="C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Pankaj K</author>
    <author>Prachi</author>
    <author>Shweta</author>
    <author>Bhatia Brothers</author>
  </authors>
  <commentList>
    <comment ref="I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Pankaj K:</t>
        </r>
        <r>
          <rPr>
            <sz val="9"/>
            <color indexed="81"/>
            <rFont val="Tahoma"/>
            <family val="2"/>
          </rPr>
          <t xml:space="preserve">
Analytical Technology and Control Limited</t>
        </r>
      </text>
    </comment>
    <comment ref="I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Pankaj K:</t>
        </r>
        <r>
          <rPr>
            <sz val="9"/>
            <color indexed="81"/>
            <rFont val="Tahoma"/>
            <family val="2"/>
          </rPr>
          <t xml:space="preserve">
HYDROFLEX PIPE PVT. LTD.</t>
        </r>
      </text>
    </comment>
    <comment ref="I1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Lasting Power Generation Trading LLC</t>
        </r>
      </text>
    </comment>
    <comment ref="J1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Lasting Power Generation Trading LLC</t>
        </r>
      </text>
    </comment>
    <comment ref="I2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Highpoint Group</t>
        </r>
      </text>
    </comment>
    <comment ref="I24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Corodex Trading L.L.C</t>
        </r>
      </text>
    </comment>
    <comment ref="I25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Power Cool Trading LLC (Br.)</t>
        </r>
      </text>
    </comment>
    <comment ref="J2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Castle Refrigeration Equipment Trading LLC</t>
        </r>
      </text>
    </comment>
    <comment ref="K25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SupplyVan</t>
        </r>
      </text>
    </comment>
    <comment ref="L25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FROSTCHEM Global FZE</t>
        </r>
      </text>
    </comment>
    <comment ref="M2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Haris Al Afaq-1442/30.1.25
Zener Gulf Equipments &amp; Spare Parts LLC-1100/30.1.25
Alphatech GCC-1425/30.1.25
SupplyVan-1535/30.1.25
AABTools-1413/3.2.25</t>
        </r>
      </text>
    </comment>
    <comment ref="N25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John Panicker Refrigeration Equipment</t>
        </r>
      </text>
    </comment>
    <comment ref="I26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Maritronics</t>
        </r>
      </text>
    </comment>
    <comment ref="I28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Oilmark International</t>
        </r>
      </text>
    </comment>
    <comment ref="J28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ABB</t>
        </r>
      </text>
    </comment>
    <comment ref="I29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Costing Sheet</t>
        </r>
      </text>
    </comment>
    <comment ref="I30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Costing Sheet</t>
        </r>
      </text>
    </comment>
    <comment ref="I32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World Petroleum Supply, Inc.</t>
        </r>
      </text>
    </comment>
    <comment ref="I33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WATER TECHNOLOGY L.L.C</t>
        </r>
      </text>
    </comment>
    <comment ref="J33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Wuhan Tanal Industrial Co., Ltd.</t>
        </r>
      </text>
    </comment>
    <comment ref="I39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Nils &amp; Abbas Trading Co. LLC</t>
        </r>
      </text>
    </comment>
    <comment ref="I40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Sensor Control LLC</t>
        </r>
      </text>
    </comment>
    <comment ref="J40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Coast &amp; Middle East Elect. Devices LLC. Sole Proprietorship</t>
        </r>
      </text>
    </comment>
    <comment ref="K40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Explosion Proof Lighting</t>
        </r>
      </text>
    </comment>
    <comment ref="L40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EUROSEC AUTOMATION AND SECURITY SYSTEMS LLC</t>
        </r>
      </text>
    </comment>
    <comment ref="M40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ARZ Electrical</t>
        </r>
      </text>
    </comment>
    <comment ref="N40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Shanghai Jiyi Lighting Electrical Engineering Co., Ltd</t>
        </r>
      </text>
    </comment>
    <comment ref="I41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Dutco Tennant LLC</t>
        </r>
      </text>
    </comment>
    <comment ref="I42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Ped-Lock Valves &amp; Fittings</t>
        </r>
      </text>
    </comment>
    <comment ref="I4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JFD Limited</t>
        </r>
      </text>
    </comment>
    <comment ref="J44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Costing Sheet</t>
        </r>
      </text>
    </comment>
    <comment ref="I45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I46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Seamac Piping Solutions Inc</t>
        </r>
      </text>
    </comment>
    <comment ref="J46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INSTRUMXX INDUSTRIES</t>
        </r>
      </text>
    </comment>
    <comment ref="K46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Lint Steels</t>
        </r>
      </text>
    </comment>
    <comment ref="L46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Kalpataru Piping Solutions</t>
        </r>
      </text>
    </comment>
    <comment ref="I47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Bahri Hardware and Safety Equipment LLC</t>
        </r>
      </text>
    </comment>
    <comment ref="J47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Misar Trading Co. LLC</t>
        </r>
      </text>
    </comment>
    <comment ref="K47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Dubai Coast Trading L.L.C</t>
        </r>
      </text>
    </comment>
    <comment ref="I49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China power contractor</t>
        </r>
      </text>
    </comment>
    <comment ref="I53" authorId="1" shapeId="0" xr:uid="{00000000-0006-0000-0000-00002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WJ Pump Rental Services LLC</t>
        </r>
      </text>
    </comment>
    <comment ref="I55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ABASCO TOOLS TRADING LLC</t>
        </r>
      </text>
    </comment>
    <comment ref="J55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PLASTIGAUGE</t>
        </r>
      </text>
    </comment>
    <comment ref="I56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Bahri Hardware and Safety Equipment LLC</t>
        </r>
      </text>
    </comment>
    <comment ref="J56" authorId="1" shapeId="0" xr:uid="{00000000-0006-0000-0000-00002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ARIIZ Int'L Gen Trdg LLC</t>
        </r>
      </text>
    </comment>
    <comment ref="I57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Aeliya Marine Tech Pvt. Ltd.</t>
        </r>
      </text>
    </comment>
    <comment ref="J57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OTECO</t>
        </r>
      </text>
    </comment>
    <comment ref="K57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 xml:space="preserve">Prachi:
</t>
        </r>
        <r>
          <rPr>
            <sz val="9"/>
            <color indexed="81"/>
            <rFont val="Tahoma"/>
            <family val="2"/>
          </rPr>
          <t>ARABIAN OCEAN SERVICES LLC</t>
        </r>
      </text>
    </comment>
    <comment ref="L57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MID-CONTINENT DISTRIBUTION PTE LTD</t>
        </r>
      </text>
    </comment>
    <comment ref="M57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Triune General Trading LLC</t>
        </r>
      </text>
    </comment>
    <comment ref="I58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FINE TOOLS TRADING LLC</t>
        </r>
      </text>
    </comment>
    <comment ref="I60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 Hussain</t>
        </r>
      </text>
    </comment>
    <comment ref="J60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STAHL CraneSystems FZE</t>
        </r>
      </text>
    </comment>
    <comment ref="K60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Gulf Rope &amp; Plastic Products (L.L.C)</t>
        </r>
      </text>
    </comment>
    <comment ref="L60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Zaker Trading LLC</t>
        </r>
      </text>
    </comment>
    <comment ref="I61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Flexiflo Hose &amp; Fitting Specialists L.L.C</t>
        </r>
      </text>
    </comment>
    <comment ref="J61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FlexEJ Limited</t>
        </r>
      </text>
    </comment>
    <comment ref="I63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Radwell International UK, Ltd</t>
        </r>
      </text>
    </comment>
    <comment ref="I64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SAFATCO Trading LLC</t>
        </r>
      </text>
    </comment>
    <comment ref="J64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Makita UAE</t>
        </r>
      </text>
    </comment>
    <comment ref="I66" authorId="1" shapeId="0" xr:uid="{00000000-0006-0000-0000-00003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 Hussain</t>
        </r>
      </text>
    </comment>
    <comment ref="J66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Gulf Rope &amp; Plastic Products (L.L.C)</t>
        </r>
      </text>
    </comment>
    <comment ref="I67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OozeChem</t>
        </r>
      </text>
    </comment>
    <comment ref="I70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Zerwa Trading Co LLC</t>
        </r>
      </text>
    </comment>
    <comment ref="J70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K. Hashim LLC</t>
        </r>
      </text>
    </comment>
    <comment ref="I76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 Hussain &amp; Bros</t>
        </r>
      </text>
    </comment>
    <comment ref="J76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I78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79" authorId="1" shapeId="0" xr:uid="{00000000-0006-0000-0000-00004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AZIMUTH ELECTRO MECHANICAL EQUIPMENT-L.L.C.-O.P.C.</t>
        </r>
      </text>
    </comment>
    <comment ref="I80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J80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I81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LUMBER WORLD BUILDING MATERIAL TRADING L L C</t>
        </r>
      </text>
    </comment>
    <comment ref="I82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Misar Trading Co. LLC</t>
        </r>
      </text>
    </comment>
    <comment ref="J82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Mutlaq Group</t>
        </r>
      </text>
    </comment>
    <comment ref="K82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 Hussain &amp; Bros</t>
        </r>
      </text>
    </comment>
    <comment ref="L82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Arakan General Trading Co L.L.C</t>
        </r>
      </text>
    </comment>
    <comment ref="M82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Roma Enterprises</t>
        </r>
      </text>
    </comment>
    <comment ref="N82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Bahri Hardware and Safety Equipment LLC</t>
        </r>
      </text>
    </comment>
    <comment ref="O82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Golden Tools Trading LLC</t>
        </r>
      </text>
    </comment>
    <comment ref="P82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KAUKABAN ENTERPRISE LLC
</t>
        </r>
      </text>
    </comment>
    <comment ref="Q82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
</t>
        </r>
      </text>
    </comment>
    <comment ref="R82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Lift N Shift Equipment Trading LLC"
</t>
        </r>
      </text>
    </comment>
    <comment ref="I83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ValveTech</t>
        </r>
      </text>
    </comment>
    <comment ref="J83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Inset Trading LLC</t>
        </r>
      </text>
    </comment>
    <comment ref="K83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OFFSHORE ENGINEERING &amp; MARKETING LTD.</t>
        </r>
      </text>
    </comment>
    <comment ref="I88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Powerflow Hydraulic Maintenance and Services LLC</t>
        </r>
      </text>
    </comment>
    <comment ref="J88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Gulf Technical Equipment &amp; Hydraulic Factory LLC</t>
        </r>
      </text>
    </comment>
    <comment ref="I90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Jansal Trading L.L.C.</t>
        </r>
      </text>
    </comment>
    <comment ref="J90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Anaum Measuring Equipment L.L.C</t>
        </r>
      </text>
    </comment>
    <comment ref="I91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Roma Enterprises</t>
        </r>
      </text>
    </comment>
    <comment ref="J91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Zaker Trading LLC</t>
        </r>
      </text>
    </comment>
    <comment ref="K91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L91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Jedar Trading</t>
        </r>
      </text>
    </comment>
    <comment ref="M91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STAR LIFT TRADING LLC</t>
        </r>
      </text>
    </comment>
    <comment ref="I95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Controls Supply Chain</t>
        </r>
      </text>
    </comment>
    <comment ref="I96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Cmets</t>
        </r>
      </text>
    </comment>
    <comment ref="I97" authorId="1" shapeId="0" xr:uid="{00000000-0006-0000-0000-00006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Neelcon steel industries</t>
        </r>
      </text>
    </comment>
    <comment ref="J97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Rajveer Stainless And Alloys</t>
        </r>
      </text>
    </comment>
    <comment ref="K97" authorId="1" shapeId="0" xr:uid="{00000000-0006-0000-0000-00006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OEML: Carbon Steel Pipe</t>
        </r>
      </text>
    </comment>
    <comment ref="I98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Randhir Metal And Alloys Pvt. Ltd.</t>
        </r>
      </text>
    </comment>
    <comment ref="J98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RAJTILAK METAL</t>
        </r>
      </text>
    </comment>
    <comment ref="K98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</t>
        </r>
      </text>
    </comment>
    <comment ref="I99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Advanced Automatic Doors &amp; Barriers Trading LLC.</t>
        </r>
      </text>
    </comment>
    <comment ref="J99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ELECTROSHOPE LLC</t>
        </r>
      </text>
    </comment>
    <comment ref="K99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 xml:space="preserve">Prachi:
</t>
        </r>
        <r>
          <rPr>
            <sz val="9"/>
            <color indexed="81"/>
            <rFont val="Tahoma"/>
            <family val="2"/>
          </rPr>
          <t>TMT Global Technology LTD</t>
        </r>
      </text>
    </comment>
    <comment ref="I100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Misar Trading Co. LLC</t>
        </r>
      </text>
    </comment>
    <comment ref="J100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Arakan General Trading Co L.L.C</t>
        </r>
      </text>
    </comment>
    <comment ref="K100" authorId="1" shapeId="0" xr:uid="{00000000-0006-0000-0000-00006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Scudo Technologies</t>
        </r>
      </text>
    </comment>
    <comment ref="L100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Bahri Hardware and Safety Equipment LLC</t>
        </r>
      </text>
    </comment>
    <comment ref="M100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Disha Impex Trading LLC</t>
        </r>
      </text>
    </comment>
    <comment ref="N100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HYDROPOWER TRADING L.L.C. </t>
        </r>
      </text>
    </comment>
    <comment ref="I102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Mega Industrial Equipments</t>
        </r>
      </text>
    </comment>
    <comment ref="J102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LED CORNER CO UK LIMITED</t>
        </r>
      </text>
    </comment>
    <comment ref="K102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Profen UAE </t>
        </r>
      </text>
    </comment>
    <comment ref="L102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 xml:space="preserve">Prachi:
</t>
        </r>
        <r>
          <rPr>
            <sz val="9"/>
            <color indexed="81"/>
            <rFont val="Tahoma"/>
            <family val="2"/>
          </rPr>
          <t>TMT Global Technology LTD</t>
        </r>
      </text>
    </comment>
    <comment ref="I103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LLC.</t>
        </r>
      </text>
    </comment>
    <comment ref="I104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CIXI ANSHI COMMUNICATION EQUIPMENT CO., LTD</t>
        </r>
      </text>
    </comment>
    <comment ref="I106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SNS International Chemicals LLC</t>
        </r>
      </text>
    </comment>
    <comment ref="J106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TRICE CHEMICALS IND LLC</t>
        </r>
      </text>
    </comment>
    <comment ref="I107" authorId="1" shapeId="0" xr:uid="{00000000-0006-0000-0000-00007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Petrofac Qatar W.L.L.</t>
        </r>
      </text>
    </comment>
    <comment ref="I109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I113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BATEEN FASTENERS LLC</t>
        </r>
      </text>
    </comment>
    <comment ref="J113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Rollstud Middle East Inc.</t>
        </r>
      </text>
    </comment>
    <comment ref="I116" authorId="1" shapeId="0" xr:uid="{00000000-0006-0000-0000-00007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Controls Supply Chain</t>
        </r>
      </text>
    </comment>
    <comment ref="J116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POWERGAS Oil Field Equip. Tr. LLC</t>
        </r>
      </text>
    </comment>
    <comment ref="I118" authorId="1" shapeId="0" xr:uid="{00000000-0006-0000-0000-00007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AUMA Middle East FZE</t>
        </r>
      </text>
    </comment>
    <comment ref="I119" authorId="1" shapeId="0" xr:uid="{00000000-0006-0000-0000-00007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</t>
        </r>
      </text>
    </comment>
    <comment ref="I120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Masaood LLC</t>
        </r>
      </text>
    </comment>
    <comment ref="I121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AB Trasmissioni</t>
        </r>
      </text>
    </comment>
    <comment ref="I122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124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Standard Pumps Trading LLC</t>
        </r>
      </text>
    </comment>
    <comment ref="I125" authorId="1" shapeId="0" xr:uid="{00000000-0006-0000-0000-00008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Arwani Trading Company L.L.C</t>
        </r>
      </text>
    </comment>
    <comment ref="I126" authorId="1" shapeId="0" xr:uid="{00000000-0006-0000-0000-00008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I127" authorId="1" shapeId="0" xr:uid="{00000000-0006-0000-0000-00008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Amca Hydraulics</t>
        </r>
      </text>
    </comment>
    <comment ref="I128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I131" authorId="1" shapeId="0" xr:uid="{00000000-0006-0000-0000-00008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M. Hussain &amp; Brothers L.L.C.</t>
        </r>
      </text>
    </comment>
    <comment ref="J131" authorId="1" shapeId="0" xr:uid="{00000000-0006-0000-0000-00008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K131" authorId="1" shapeId="0" xr:uid="{00000000-0006-0000-0000-00008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Amazone</t>
        </r>
      </text>
    </comment>
    <comment ref="I132" authorId="1" shapeId="0" xr:uid="{00000000-0006-0000-0000-00008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</t>
        </r>
      </text>
    </comment>
    <comment ref="I135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PERFECT PRISM GENERAL TRADING L.L.C</t>
        </r>
      </text>
    </comment>
    <comment ref="J135" authorId="1" shapeId="0" xr:uid="{00000000-0006-0000-0000-00008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EXTOL INTERNATIONAL F.Z.C.</t>
        </r>
      </text>
    </comment>
    <comment ref="K135" authorId="1" shapeId="0" xr:uid="{00000000-0006-0000-0000-00008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Specialized Power Products (Fzc.) </t>
        </r>
      </text>
    </comment>
    <comment ref="I139" authorId="1" shapeId="0" xr:uid="{00000000-0006-0000-0000-00008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Lutz-Jesco Middle East FZE</t>
        </r>
      </text>
    </comment>
    <comment ref="I142" authorId="1" shapeId="0" xr:uid="{00000000-0006-0000-0000-00009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</t>
        </r>
      </text>
    </comment>
    <comment ref="I144" authorId="1" shapeId="0" xr:uid="{00000000-0006-0000-0000-00009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Shandong Xingyue Materials Co., Ltd. 
</t>
        </r>
      </text>
    </comment>
    <comment ref="J144" authorId="1" shapeId="0" xr:uid="{00000000-0006-0000-0000-00009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Nasheng Import and Export (Shandong) Co., LTD</t>
        </r>
      </text>
    </comment>
    <comment ref="I148" authorId="1" shapeId="0" xr:uid="{00000000-0006-0000-0000-00009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J148" authorId="1" shapeId="0" xr:uid="{00000000-0006-0000-0000-00009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</t>
        </r>
      </text>
    </comment>
    <comment ref="I157" authorId="1" shapeId="0" xr:uid="{00000000-0006-0000-0000-00009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 LLC</t>
        </r>
      </text>
    </comment>
    <comment ref="J157" authorId="1" shapeId="0" xr:uid="{00000000-0006-0000-0000-00009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GOLDEN HARBOUR L.L.C</t>
        </r>
      </text>
    </comment>
    <comment ref="I159" authorId="1" shapeId="0" xr:uid="{00000000-0006-0000-0000-00009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Kun Steel</t>
        </r>
      </text>
    </comment>
    <comment ref="I167" authorId="1" shapeId="0" xr:uid="{00000000-0006-0000-0000-00009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Family Outdoor Camping Requisites Trading LLC</t>
        </r>
      </text>
    </comment>
    <comment ref="I188" authorId="1" shapeId="0" xr:uid="{00000000-0006-0000-0000-00009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SupplyVan</t>
        </r>
      </text>
    </comment>
    <comment ref="J188" authorId="1" shapeId="0" xr:uid="{00000000-0006-0000-0000-00009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General Tech Services</t>
        </r>
      </text>
    </comment>
    <comment ref="I189" authorId="1" shapeId="0" xr:uid="{00000000-0006-0000-0000-00009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Transducer Techniques</t>
        </r>
      </text>
    </comment>
    <comment ref="J189" authorId="1" shapeId="0" xr:uid="{00000000-0006-0000-0000-00009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190" authorId="1" shapeId="0" xr:uid="{00000000-0006-0000-0000-00009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ALPHATECH</t>
        </r>
      </text>
    </comment>
    <comment ref="J190" authorId="1" shapeId="0" xr:uid="{00000000-0006-0000-0000-00009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ZENER EQUIPMENT &amp; SPARE PARTS TRADING  L.L.C</t>
        </r>
      </text>
    </comment>
    <comment ref="K190" authorId="1" shapeId="0" xr:uid="{00000000-0006-0000-0000-00009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L190" authorId="1" shapeId="0" xr:uid="{00000000-0006-0000-0000-0000A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M190" authorId="1" shapeId="0" xr:uid="{00000000-0006-0000-0000-0000A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Haris</t>
        </r>
      </text>
    </comment>
    <comment ref="N190" authorId="1" shapeId="0" xr:uid="{00000000-0006-0000-0000-0000A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196" authorId="1" shapeId="0" xr:uid="{00000000-0006-0000-0000-0000A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WORLD OF CONTROLS FZE</t>
        </r>
      </text>
    </comment>
    <comment ref="I199" authorId="1" shapeId="0" xr:uid="{00000000-0006-0000-0000-0000A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SKYWAY Trading Co.LLC</t>
        </r>
      </text>
    </comment>
    <comment ref="J199" authorId="1" shapeId="0" xr:uid="{00000000-0006-0000-0000-0000A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ControlTech Supply Limited</t>
        </r>
      </text>
    </comment>
    <comment ref="K199" authorId="1" shapeId="0" xr:uid="{00000000-0006-0000-0000-0000A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THOMSUN GENERAL TRADING LLC</t>
        </r>
      </text>
    </comment>
    <comment ref="I200" authorId="1" shapeId="0" xr:uid="{00000000-0006-0000-0000-0000A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Radwell International UK, Ltd</t>
        </r>
      </text>
    </comment>
    <comment ref="J200" authorId="1" shapeId="0" xr:uid="{00000000-0006-0000-0000-0000A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OILMARK INTERNATIONAL</t>
        </r>
      </text>
    </comment>
    <comment ref="I201" authorId="1" shapeId="0" xr:uid="{00000000-0006-0000-0000-0000A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Voltronix Switchgear LLC</t>
        </r>
      </text>
    </comment>
    <comment ref="I209" authorId="1" shapeId="0" xr:uid="{00000000-0006-0000-0000-0000A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Polyfit Industries LLC</t>
        </r>
      </text>
    </comment>
    <comment ref="I210" authorId="1" shapeId="0" xr:uid="{00000000-0006-0000-0000-0000A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Ghandi Electrical &amp; Automation LLC</t>
        </r>
      </text>
    </comment>
    <comment ref="J210" authorId="1" shapeId="0" xr:uid="{00000000-0006-0000-0000-0000A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Monicon Technology Ltd</t>
        </r>
      </text>
    </comment>
    <comment ref="K210" authorId="1" shapeId="0" xr:uid="{00000000-0006-0000-0000-0000A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JUMO GmbH &amp; Co. KG</t>
        </r>
      </text>
    </comment>
    <comment ref="I212" authorId="1" shapeId="0" xr:uid="{00000000-0006-0000-0000-0000A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Syveco</t>
        </r>
      </text>
    </comment>
    <comment ref="I213" authorId="1" shapeId="0" xr:uid="{00000000-0006-0000-0000-0000A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Caltrols Middle East FZCO</t>
        </r>
      </text>
    </comment>
    <comment ref="I214" authorId="1" shapeId="0" xr:uid="{00000000-0006-0000-0000-0000B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STANDARD TECHNICAL SUPPLY LLC</t>
        </r>
      </text>
    </comment>
    <comment ref="I215" authorId="1" shapeId="0" xr:uid="{00000000-0006-0000-0000-0000B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Changzhou Ambers Electro-mechanical Co., Ltd.</t>
        </r>
      </text>
    </comment>
    <comment ref="I216" authorId="1" shapeId="0" xr:uid="{00000000-0006-0000-0000-0000B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FIRE SUPPLIES</t>
        </r>
      </text>
    </comment>
    <comment ref="I219" authorId="1" shapeId="0" xr:uid="{00000000-0006-0000-0000-0000B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Fluid Science Dynamics Trading LLC</t>
        </r>
      </text>
    </comment>
    <comment ref="I222" authorId="1" shapeId="0" xr:uid="{00000000-0006-0000-0000-0000B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MACHINOTECH Automation And Trading LLC FZ</t>
        </r>
      </text>
    </comment>
    <comment ref="I223" authorId="1" shapeId="0" xr:uid="{00000000-0006-0000-0000-0000B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Gulf Oil &amp; Gas International FZE</t>
        </r>
      </text>
    </comment>
    <comment ref="I225" authorId="1" shapeId="0" xr:uid="{00000000-0006-0000-0000-0000B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POWERGAS Oil Field Equip. Tr. LLC</t>
        </r>
      </text>
    </comment>
    <comment ref="I227" authorId="1" shapeId="0" xr:uid="{00000000-0006-0000-0000-0000B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POWER COOL TRADING LLC</t>
        </r>
      </text>
    </comment>
    <comment ref="J227" authorId="1" shapeId="0" xr:uid="{00000000-0006-0000-0000-0000B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LLC.</t>
        </r>
      </text>
    </comment>
    <comment ref="I228" authorId="1" shapeId="0" xr:uid="{00000000-0006-0000-0000-0000B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 Kempston Controls LLC</t>
        </r>
      </text>
    </comment>
    <comment ref="J228" authorId="1" shapeId="0" xr:uid="{00000000-0006-0000-0000-0000B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Electro-Kinetics Inc.</t>
        </r>
      </text>
    </comment>
    <comment ref="I230" authorId="1" shapeId="0" xr:uid="{00000000-0006-0000-0000-0000B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Amazone </t>
        </r>
      </text>
    </comment>
    <comment ref="J230" authorId="1" shapeId="0" xr:uid="{00000000-0006-0000-0000-0000B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I233" authorId="1" shapeId="0" xr:uid="{00000000-0006-0000-0000-0000B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UE International (C/O United Energy FZC)</t>
        </r>
      </text>
    </comment>
    <comment ref="I234" authorId="1" shapeId="0" xr:uid="{00000000-0006-0000-0000-0000B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UE International (C/O United Energy FZC)</t>
        </r>
      </text>
    </comment>
    <comment ref="J234" authorId="1" shapeId="0" xr:uid="{00000000-0006-0000-0000-0000B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AUTOVERSE L.L.C FZ</t>
        </r>
      </text>
    </comment>
    <comment ref="I235" authorId="1" shapeId="0" xr:uid="{00000000-0006-0000-0000-0000C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J235" authorId="1" shapeId="0" xr:uid="{00000000-0006-0000-0000-0000C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K235" authorId="1" shapeId="0" xr:uid="{00000000-0006-0000-0000-0000C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I236" authorId="1" shapeId="0" xr:uid="{00000000-0006-0000-0000-0000C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CO.LLC.
</t>
        </r>
      </text>
    </comment>
    <comment ref="I237" authorId="1" shapeId="0" xr:uid="{00000000-0006-0000-0000-0000C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UE International (C/O United Energy FZC)</t>
        </r>
      </text>
    </comment>
    <comment ref="J237" authorId="1" shapeId="0" xr:uid="{00000000-0006-0000-0000-0000C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Swift Solutions Heavy Equip Spare parts TR LLC</t>
        </r>
      </text>
    </comment>
    <comment ref="I240" authorId="1" shapeId="0" xr:uid="{00000000-0006-0000-0000-0000C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Gas Fuel Technologies</t>
        </r>
      </text>
    </comment>
    <comment ref="J240" authorId="1" shapeId="0" xr:uid="{00000000-0006-0000-0000-0000C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rotring-hische GmbH</t>
        </r>
      </text>
    </comment>
    <comment ref="I243" authorId="1" shapeId="0" xr:uid="{00000000-0006-0000-0000-0000C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Offshore Engg &amp; Mktg Ltd</t>
        </r>
      </text>
    </comment>
    <comment ref="I244" authorId="1" shapeId="0" xr:uid="{00000000-0006-0000-0000-0000C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Lapp Cables Middle East FZE</t>
        </r>
      </text>
    </comment>
    <comment ref="I251" authorId="1" shapeId="0" xr:uid="{00000000-0006-0000-0000-0000C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La Rosa Rose General Trading LLC</t>
        </r>
      </text>
    </comment>
    <comment ref="I252" authorId="1" shapeId="0" xr:uid="{00000000-0006-0000-0000-0000C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M&amp;M Control Service Inc.</t>
        </r>
      </text>
    </comment>
    <comment ref="I257" authorId="1" shapeId="0" xr:uid="{00000000-0006-0000-0000-0000C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National Store L.L.C.</t>
        </r>
      </text>
    </comment>
    <comment ref="I262" authorId="1" shapeId="0" xr:uid="{00000000-0006-0000-0000-0000C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Adex International LLC</t>
        </r>
      </text>
    </comment>
    <comment ref="I265" authorId="1" shapeId="0" xr:uid="{00000000-0006-0000-0000-0000C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Maisam Trading LLC.</t>
        </r>
      </text>
    </comment>
    <comment ref="J265" authorId="1" shapeId="0" xr:uid="{00000000-0006-0000-0000-0000C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Fakhruddin Kaderbhai Trd. Co. LLC</t>
        </r>
      </text>
    </comment>
    <comment ref="I266" authorId="1" shapeId="0" xr:uid="{00000000-0006-0000-0000-0000D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Super Edge General Trading</t>
        </r>
      </text>
    </comment>
    <comment ref="I272" authorId="1" shapeId="0" xr:uid="{00000000-0006-0000-0000-0000D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273" authorId="1" shapeId="0" xr:uid="{00000000-0006-0000-0000-0000D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Salehi Machinery &amp; Equipment Repairing LLC
</t>
        </r>
      </text>
    </comment>
    <comment ref="I274" authorId="1" shapeId="0" xr:uid="{00000000-0006-0000-0000-0000D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NAFFCO GROUP</t>
        </r>
      </text>
    </comment>
    <comment ref="I279" authorId="1" shapeId="0" xr:uid="{00000000-0006-0000-0000-0000D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Aeliya Marine Tech Pvt. Ltd.</t>
        </r>
      </text>
    </comment>
    <comment ref="I281" authorId="1" shapeId="0" xr:uid="{00000000-0006-0000-0000-0000D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I283" authorId="1" shapeId="0" xr:uid="{00000000-0006-0000-0000-0000D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Ali Yaqoob Trading Co. L.L.C.</t>
        </r>
      </text>
    </comment>
    <comment ref="J283" authorId="1" shapeId="0" xr:uid="{00000000-0006-0000-0000-0000D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SUNEL WALA BUILDING MATERIALS TRDG. CO. LLC</t>
        </r>
      </text>
    </comment>
    <comment ref="K283" authorId="1" shapeId="0" xr:uid="{00000000-0006-0000-0000-0000D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Alkun Steel</t>
        </r>
      </text>
    </comment>
    <comment ref="L283" authorId="1" shapeId="0" xr:uid="{00000000-0006-0000-0000-0000D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FITTING WORLD TRADING LLC,</t>
        </r>
      </text>
    </comment>
    <comment ref="I284" authorId="1" shapeId="0" xr:uid="{00000000-0006-0000-0000-0000D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Alkun Steel</t>
        </r>
      </text>
    </comment>
    <comment ref="J284" authorId="1" shapeId="0" xr:uid="{00000000-0006-0000-0000-0000D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SUNEL WALA BUILDING MATERIALS TRDG. CO. LLC</t>
        </r>
      </text>
    </comment>
    <comment ref="K284" authorId="1" shapeId="0" xr:uid="{00000000-0006-0000-0000-0000D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FITTING WORLD TRADING LLC</t>
        </r>
      </text>
    </comment>
    <comment ref="I285" authorId="1" shapeId="0" xr:uid="{00000000-0006-0000-0000-0000D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Alfa Laval Middle East LTD.</t>
        </r>
      </text>
    </comment>
    <comment ref="I286" authorId="1" shapeId="0" xr:uid="{00000000-0006-0000-0000-0000D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NIRMAL INDUSTRIAL CONTROLS PVT LTD</t>
        </r>
      </text>
    </comment>
    <comment ref="I288" authorId="1" shapeId="0" xr:uid="{00000000-0006-0000-0000-0000D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General Tech Services
</t>
        </r>
      </text>
    </comment>
    <comment ref="I291" authorId="1" shapeId="0" xr:uid="{00000000-0006-0000-0000-0000E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Global Enterprises Trading Co</t>
        </r>
      </text>
    </comment>
    <comment ref="I298" authorId="1" shapeId="0" xr:uid="{00000000-0006-0000-0000-0000E1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LABGULF FZC</t>
        </r>
      </text>
    </comment>
    <comment ref="I302" authorId="1" shapeId="0" xr:uid="{00000000-0006-0000-0000-0000E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I305" authorId="1" shapeId="0" xr:uid="{00000000-0006-0000-0000-0000E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J305" authorId="1" shapeId="0" xr:uid="{00000000-0006-0000-0000-0000E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Gulf Instruments</t>
        </r>
      </text>
    </comment>
    <comment ref="K305" authorId="1" shapeId="0" xr:uid="{00000000-0006-0000-0000-0000E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Gulf Instruments</t>
        </r>
      </text>
    </comment>
    <comment ref="I306" authorId="1" shapeId="0" xr:uid="{00000000-0006-0000-0000-0000E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Bin Ali Medical Supplies LLC</t>
        </r>
      </text>
    </comment>
    <comment ref="J306" authorId="1" shapeId="0" xr:uid="{00000000-0006-0000-0000-0000E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Medical Mart Pharmacy LLC</t>
        </r>
      </text>
    </comment>
    <comment ref="K306" authorId="1" shapeId="0" xr:uid="{00000000-0006-0000-0000-0000E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WINRAY MEDICAL EQUIPMENT TRADING LLC</t>
        </r>
      </text>
    </comment>
    <comment ref="I307" authorId="1" shapeId="0" xr:uid="{00000000-0006-0000-0000-0000E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J307" authorId="1" shapeId="0" xr:uid="{00000000-0006-0000-0000-0000E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SUNEL WALA BUILDING MATERIALS TRDG. CO. LLC
</t>
        </r>
      </text>
    </comment>
    <comment ref="K307" authorId="1" shapeId="0" xr:uid="{00000000-0006-0000-0000-0000E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KUN STEEL</t>
        </r>
      </text>
    </comment>
    <comment ref="I309" authorId="1" shapeId="0" xr:uid="{00000000-0006-0000-0000-0000E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 FZE</t>
        </r>
      </text>
    </comment>
    <comment ref="I310" authorId="1" shapeId="0" xr:uid="{00000000-0006-0000-0000-0000E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Computer Circles LLC</t>
        </r>
      </text>
    </comment>
    <comment ref="J310" authorId="1" shapeId="0" xr:uid="{00000000-0006-0000-0000-0000E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UNITED BROADCAST &amp; MEDIA SOLUTIONS LLC</t>
        </r>
      </text>
    </comment>
    <comment ref="K310" authorId="1" shapeId="0" xr:uid="{00000000-0006-0000-0000-0000E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UNITED BROADCAST &amp; MEDIA SOLUTIONS LLC</t>
        </r>
      </text>
    </comment>
    <comment ref="L310" authorId="1" shapeId="0" xr:uid="{00000000-0006-0000-0000-0000F0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Future Art Broadcast Trading</t>
        </r>
      </text>
    </comment>
    <comment ref="M310" authorId="1" shapeId="0" xr:uid="{00000000-0006-0000-0000-0000F1000000}">
      <text>
        <r>
          <rPr>
            <b/>
            <sz val="9"/>
            <color indexed="81"/>
            <rFont val="Tahoma"/>
            <family val="2"/>
          </rPr>
          <t xml:space="preserve">Prachi:
</t>
        </r>
        <r>
          <rPr>
            <sz val="9"/>
            <color indexed="81"/>
            <rFont val="Tahoma"/>
            <family val="2"/>
          </rPr>
          <t>Gigabyte Electronics Trading LLC</t>
        </r>
      </text>
    </comment>
    <comment ref="N310" authorId="1" shapeId="0" xr:uid="{00000000-0006-0000-0000-0000F2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MICROLESS GENERAL TRADING LLC</t>
        </r>
      </text>
    </comment>
    <comment ref="I313" authorId="1" shapeId="0" xr:uid="{00000000-0006-0000-0000-0000F3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Ansari Trading Enterprise LLC</t>
        </r>
      </text>
    </comment>
    <comment ref="I315" authorId="1" shapeId="0" xr:uid="{00000000-0006-0000-0000-0000F4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Bin Moosa &amp; Daly LTD. L.L.C.</t>
        </r>
      </text>
    </comment>
    <comment ref="I316" authorId="1" shapeId="0" xr:uid="{00000000-0006-0000-0000-0000F5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RAZANA KITCHEN EQUPIMENT TR.</t>
        </r>
      </text>
    </comment>
    <comment ref="J316" authorId="1" shapeId="0" xr:uid="{00000000-0006-0000-0000-0000F6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Bravo Kitchen Equipment</t>
        </r>
      </text>
    </comment>
    <comment ref="K316" authorId="1" shapeId="0" xr:uid="{00000000-0006-0000-0000-0000F7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Creative Display Co. LLC. </t>
        </r>
      </text>
    </comment>
    <comment ref="L316" authorId="1" shapeId="0" xr:uid="{00000000-0006-0000-0000-0000F8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Falcon Kitchen Equipment Company W.L.L</t>
        </r>
      </text>
    </comment>
    <comment ref="M316" authorId="1" shapeId="0" xr:uid="{00000000-0006-0000-0000-0000F9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KITCHEN SOUQ</t>
        </r>
      </text>
    </comment>
    <comment ref="I317" authorId="1" shapeId="0" xr:uid="{00000000-0006-0000-0000-0000FA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POWER GAS OILFIELD EQUIPMENTS</t>
        </r>
      </text>
    </comment>
    <comment ref="I318" authorId="1" shapeId="0" xr:uid="{00000000-0006-0000-0000-0000FB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SUPER COOL AIR CONDITIONING TRADING LLC</t>
        </r>
      </text>
    </comment>
    <comment ref="J318" authorId="1" shapeId="0" xr:uid="{00000000-0006-0000-0000-0000FC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HNG Air Conditioning Trading LLC</t>
        </r>
      </text>
    </comment>
    <comment ref="I319" authorId="1" shapeId="0" xr:uid="{00000000-0006-0000-0000-0000FD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KUN STEEL</t>
        </r>
      </text>
    </comment>
    <comment ref="J319" authorId="1" shapeId="0" xr:uid="{00000000-0006-0000-0000-0000FE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SUNEL WALA BUILDING MATERIALS TRDG. CO. LLC</t>
        </r>
      </text>
    </comment>
    <comment ref="K319" authorId="1" shapeId="0" xr:uid="{00000000-0006-0000-0000-0000FF00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Interflex Trading LLC</t>
        </r>
      </text>
    </comment>
    <comment ref="I321" authorId="1" shapeId="0" xr:uid="{00000000-0006-0000-0000-000000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National Engineering Services &amp; Trading Co. LLC</t>
        </r>
      </text>
    </comment>
    <comment ref="I323" authorId="1" shapeId="0" xr:uid="{00000000-0006-0000-0000-000001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Polyfit Industries LLC
</t>
        </r>
      </text>
    </comment>
    <comment ref="J323" authorId="1" shapeId="0" xr:uid="{00000000-0006-0000-0000-000002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K323" authorId="1" shapeId="0" xr:uid="{00000000-0006-0000-0000-000003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L323" authorId="1" shapeId="0" xr:uid="{00000000-0006-0000-0000-000004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CO.LLC.</t>
        </r>
      </text>
    </comment>
    <comment ref="M323" authorId="1" shapeId="0" xr:uid="{00000000-0006-0000-0000-000005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NPF PIPES TRADING (L.L.C.)</t>
        </r>
      </text>
    </comment>
    <comment ref="N323" authorId="1" shapeId="0" xr:uid="{00000000-0006-0000-0000-000006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Emmanuel General Trading LLC.</t>
        </r>
      </text>
    </comment>
    <comment ref="I330" authorId="1" shapeId="0" xr:uid="{00000000-0006-0000-0000-000007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Union Pipes Industry Co.</t>
        </r>
      </text>
    </comment>
    <comment ref="I331" authorId="1" shapeId="0" xr:uid="{00000000-0006-0000-0000-000008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RXSOL Group of Companies</t>
        </r>
      </text>
    </comment>
    <comment ref="I334" authorId="1" shapeId="0" xr:uid="{00000000-0006-0000-0000-000009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Swift Solution</t>
        </r>
      </text>
    </comment>
    <comment ref="J334" authorId="1" shapeId="0" xr:uid="{00000000-0006-0000-0000-00000A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PE-Energy Industrial Supply
</t>
        </r>
      </text>
    </comment>
    <comment ref="K334" authorId="1" shapeId="0" xr:uid="{00000000-0006-0000-0000-00000B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I339" authorId="1" shapeId="0" xr:uid="{00000000-0006-0000-0000-00000C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ZAKER TRADING LLC</t>
        </r>
      </text>
    </comment>
    <comment ref="J339" authorId="1" shapeId="0" xr:uid="{00000000-0006-0000-0000-00000D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Shabbir Enterprises: Home</t>
        </r>
      </text>
    </comment>
    <comment ref="K339" authorId="1" shapeId="0" xr:uid="{00000000-0006-0000-0000-00000E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RIGID Crane Services LLC</t>
        </r>
      </text>
    </comment>
    <comment ref="I340" authorId="1" shapeId="0" xr:uid="{00000000-0006-0000-0000-00000F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CO.LLC.</t>
        </r>
      </text>
    </comment>
    <comment ref="I341" authorId="1" shapeId="0" xr:uid="{00000000-0006-0000-0000-000010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PWMI Group SIA</t>
        </r>
      </text>
    </comment>
    <comment ref="J341" authorId="1" shapeId="0" xr:uid="{00000000-0006-0000-0000-000011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Leybold / Vacuum Technique Service
</t>
        </r>
      </text>
    </comment>
    <comment ref="I342" authorId="1" shapeId="0" xr:uid="{00000000-0006-0000-0000-000012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TeeDee International FZE</t>
        </r>
      </text>
    </comment>
    <comment ref="I343" authorId="1" shapeId="0" xr:uid="{00000000-0006-0000-0000-000013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344" authorId="1" shapeId="0" xr:uid="{00000000-0006-0000-0000-000014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L.L.C. - Abudhabhi</t>
        </r>
      </text>
    </comment>
    <comment ref="J344" authorId="1" shapeId="0" xr:uid="{00000000-0006-0000-0000-000015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NEXA ELECTRICALS TRADING LLC</t>
        </r>
      </text>
    </comment>
    <comment ref="K344" authorId="1" shapeId="0" xr:uid="{00000000-0006-0000-0000-000016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L344" authorId="1" shapeId="0" xr:uid="{00000000-0006-0000-0000-000017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haji commercial company
</t>
        </r>
      </text>
    </comment>
    <comment ref="M344" authorId="1" shapeId="0" xr:uid="{00000000-0006-0000-0000-000018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347" authorId="1" shapeId="0" xr:uid="{00000000-0006-0000-0000-000019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
</t>
        </r>
      </text>
    </comment>
    <comment ref="I348" authorId="1" shapeId="0" xr:uid="{00000000-0006-0000-0000-00001A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AEI Supplies FZE</t>
        </r>
      </text>
    </comment>
    <comment ref="I351" authorId="1" shapeId="0" xr:uid="{00000000-0006-0000-0000-00001B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STAR HIVE EQUIPMENT TRADING LLC</t>
        </r>
      </text>
    </comment>
    <comment ref="I353" authorId="1" shapeId="0" xr:uid="{00000000-0006-0000-0000-00001C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KADDAS Oilfield Services &amp; Trading CO.LLC.</t>
        </r>
      </text>
    </comment>
    <comment ref="I358" authorId="1" shapeId="0" xr:uid="{00000000-0006-0000-0000-00001D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ABB DCS HEAVY EQUIPMENT &amp; MACHINERY SPARE PARTS TRADING CO. L.L.C</t>
        </r>
      </text>
    </comment>
    <comment ref="I359" authorId="1" shapeId="0" xr:uid="{00000000-0006-0000-0000-00001E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GOLDENWAY ELECT. WARE TR.LLC</t>
        </r>
      </text>
    </comment>
    <comment ref="I362" authorId="1" shapeId="0" xr:uid="{00000000-0006-0000-0000-00001F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AEDHS</t>
        </r>
      </text>
    </comment>
    <comment ref="J362" authorId="1" shapeId="0" xr:uid="{00000000-0006-0000-0000-000020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K362" authorId="1" shapeId="0" xr:uid="{00000000-0006-0000-0000-000021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Fire Supplies</t>
        </r>
      </text>
    </comment>
    <comment ref="I363" authorId="1" shapeId="0" xr:uid="{00000000-0006-0000-0000-000022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Johnson Controls</t>
        </r>
      </text>
    </comment>
    <comment ref="I364" authorId="1" shapeId="0" xr:uid="{00000000-0006-0000-0000-000023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L.L.C. - Abu
Dhabi</t>
        </r>
      </text>
    </comment>
    <comment ref="I365" authorId="1" shapeId="0" xr:uid="{00000000-0006-0000-0000-000024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IDEAL INTL OIL FIELD EQP TR S P LLC</t>
        </r>
      </text>
    </comment>
    <comment ref="J365" authorId="1" shapeId="0" xr:uid="{00000000-0006-0000-0000-000025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 R M B GENERAL TRADING</t>
        </r>
      </text>
    </comment>
    <comment ref="K365" authorId="1" shapeId="0" xr:uid="{00000000-0006-0000-0000-000026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LBK AUTOSPARE PARTS TRADING LLC</t>
        </r>
      </text>
    </comment>
    <comment ref="I367" authorId="1" shapeId="0" xr:uid="{00000000-0006-0000-0000-000027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BAIT AL AALI 
Hardware Tr LLC</t>
        </r>
      </text>
    </comment>
    <comment ref="J367" authorId="1" shapeId="0" xr:uid="{00000000-0006-0000-0000-000028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FK TOOLS</t>
        </r>
      </text>
    </comment>
    <comment ref="I368" authorId="1" shapeId="0" xr:uid="{00000000-0006-0000-0000-000029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Kun Steel Trd</t>
        </r>
      </text>
    </comment>
    <comment ref="I370" authorId="1" shapeId="0" xr:uid="{00000000-0006-0000-0000-00002A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MAHY KHOORY &amp; CO L.L.C.</t>
        </r>
      </text>
    </comment>
    <comment ref="I372" authorId="1" shapeId="0" xr:uid="{00000000-0006-0000-0000-00002B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Una General Trading</t>
        </r>
      </text>
    </comment>
    <comment ref="I376" authorId="1" shapeId="0" xr:uid="{00000000-0006-0000-0000-00002C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Julnar Gen. Tr. L.L.C.</t>
        </r>
      </text>
    </comment>
    <comment ref="J376" authorId="1" shapeId="0" xr:uid="{00000000-0006-0000-0000-00002D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BATTERY MASTER UAE</t>
        </r>
      </text>
    </comment>
    <comment ref="I377" authorId="1" shapeId="0" xr:uid="{00000000-0006-0000-0000-00002E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Takmeel Global General Trading LLC</t>
        </r>
      </text>
    </comment>
    <comment ref="J377" authorId="1" shapeId="0" xr:uid="{00000000-0006-0000-0000-00002F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I378" authorId="1" shapeId="0" xr:uid="{00000000-0006-0000-0000-000030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UB EMIRATES LLC</t>
        </r>
      </text>
    </comment>
    <comment ref="J378" authorId="1" shapeId="0" xr:uid="{00000000-0006-0000-0000-000031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Trans Light Electrical LLC</t>
        </r>
      </text>
    </comment>
    <comment ref="K378" authorId="1" shapeId="0" xr:uid="{00000000-0006-0000-0000-000032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Ahuja Electrical Appliances Co. LLC</t>
        </r>
      </text>
    </comment>
    <comment ref="I383" authorId="1" shapeId="0" xr:uid="{00000000-0006-0000-0000-000033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BULLION PIPE</t>
        </r>
      </text>
    </comment>
    <comment ref="I384" authorId="1" shapeId="0" xr:uid="{00000000-0006-0000-0000-000034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DALEEL ELECT. SWITCH GEAR TR. LLC.</t>
        </r>
      </text>
    </comment>
    <comment ref="J384" authorId="1" shapeId="0" xr:uid="{00000000-0006-0000-0000-000035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386" authorId="1" shapeId="0" xr:uid="{00000000-0006-0000-0000-000036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Dubai Coast Trading L.L.C</t>
        </r>
      </text>
    </comment>
    <comment ref="I387" authorId="1" shapeId="0" xr:uid="{00000000-0006-0000-0000-000037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J387" authorId="1" shapeId="0" xr:uid="{00000000-0006-0000-0000-000038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DEHN Middle East FZE</t>
        </r>
      </text>
    </comment>
    <comment ref="K387" authorId="1" shapeId="0" xr:uid="{00000000-0006-0000-0000-000039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PHOENIX TRADING CO LLC</t>
        </r>
      </text>
    </comment>
    <comment ref="I389" authorId="1" shapeId="0" xr:uid="{00000000-0006-0000-0000-00003A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Office One LLC</t>
        </r>
      </text>
    </comment>
    <comment ref="J389" authorId="1" shapeId="0" xr:uid="{00000000-0006-0000-0000-00003B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AREEN INTERNATIONAL GROUP LLC</t>
        </r>
      </text>
    </comment>
    <comment ref="I390" authorId="1" shapeId="0" xr:uid="{00000000-0006-0000-0000-00003C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Al Gurg Leigh's Paints
</t>
        </r>
      </text>
    </comment>
    <comment ref="J390" authorId="1" shapeId="0" xr:uid="{00000000-0006-0000-0000-00003D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Dani Trading LLC</t>
        </r>
      </text>
    </comment>
    <comment ref="I394" authorId="1" shapeId="0" xr:uid="{00000000-0006-0000-0000-00003E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J394" authorId="1" shapeId="0" xr:uid="{00000000-0006-0000-0000-00003F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I395" authorId="1" shapeId="0" xr:uid="{00000000-0006-0000-0000-000040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Fakhruddin Kaderbhai Trd. Co. LLC.</t>
        </r>
      </text>
    </comment>
    <comment ref="I397" authorId="1" shapeId="0" xr:uid="{00000000-0006-0000-0000-000041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R E S C O Electromechanical LLC</t>
        </r>
      </text>
    </comment>
    <comment ref="J397" authorId="1" shapeId="0" xr:uid="{00000000-0006-0000-0000-000042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Louis Kingslin </t>
        </r>
      </text>
    </comment>
    <comment ref="I398" authorId="1" shapeId="0" xr:uid="{00000000-0006-0000-0000-000043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402" authorId="1" shapeId="0" xr:uid="{00000000-0006-0000-0000-000044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Battery Master UAE</t>
        </r>
      </text>
    </comment>
    <comment ref="I407" authorId="1" shapeId="0" xr:uid="{00000000-0006-0000-0000-000045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SAMIR ODEH &amp; SONS TRADING L.L.C</t>
        </r>
      </text>
    </comment>
    <comment ref="J407" authorId="1" shapeId="0" xr:uid="{00000000-0006-0000-0000-000046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Eastern Msar Trading &amp; Contracting Co.</t>
        </r>
      </text>
    </comment>
    <comment ref="I408" authorId="1" shapeId="0" xr:uid="{00000000-0006-0000-0000-000047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wilo Middle East FZE</t>
        </r>
      </text>
    </comment>
    <comment ref="I412" authorId="2" shapeId="0" xr:uid="{3E80B0D8-DE62-48CB-A23C-BCB0983E767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Radwell International UK, Ltd</t>
        </r>
      </text>
    </comment>
    <comment ref="I414" authorId="2" shapeId="0" xr:uid="{060ACFFC-31D0-40FB-A121-CA36A1A2DD1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JORD INTERNATIONAL PTE LTD</t>
        </r>
      </text>
    </comment>
    <comment ref="I415" authorId="1" shapeId="0" xr:uid="{00000000-0006-0000-0000-000048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IDEAL INTL OIL FIELD EQP TR S P LLC</t>
        </r>
      </text>
    </comment>
    <comment ref="I421" authorId="1" shapeId="0" xr:uid="{00000000-0006-0000-0000-000049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MENA Engineering Equipment LLC</t>
        </r>
      </text>
    </comment>
    <comment ref="I425" authorId="1" shapeId="0" xr:uid="{00000000-0006-0000-0000-00004A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Dr Scent</t>
        </r>
      </text>
    </comment>
    <comment ref="I431" authorId="1" shapeId="0" xr:uid="{00000000-0006-0000-0000-00004B010000}">
      <text>
        <r>
          <rPr>
            <b/>
            <sz val="9"/>
            <color indexed="81"/>
            <rFont val="Tahoma"/>
            <family val="2"/>
          </rPr>
          <t>Prachi:</t>
        </r>
        <r>
          <rPr>
            <sz val="9"/>
            <color indexed="81"/>
            <rFont val="Tahoma"/>
            <family val="2"/>
          </rPr>
          <t xml:space="preserve">
Precision Metal Industries Fzc
</t>
        </r>
      </text>
    </comment>
    <comment ref="I434" authorId="2" shapeId="0" xr:uid="{3B94371E-37B6-4018-8EEB-FC8FF9D4A5C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Central Motors &amp; Equipment's</t>
        </r>
      </text>
    </comment>
    <comment ref="J434" authorId="2" shapeId="0" xr:uid="{C055BBDB-7AF9-4B78-91E8-2A4B621414A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ZAKER TRADING LLC</t>
        </r>
      </text>
    </comment>
    <comment ref="I435" authorId="2" shapeId="0" xr:uid="{2ECE7296-0982-4C7F-B607-C5DA4716108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Offshore Engg &amp; Mktg Ltd</t>
        </r>
      </text>
    </comment>
    <comment ref="J435" authorId="2" shapeId="0" xr:uid="{F1F47E33-C161-4D64-8E83-3C23875883D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Sunel Wala Building Materials Trading Co. LLC</t>
        </r>
      </text>
    </comment>
    <comment ref="I436" authorId="2" shapeId="0" xr:uid="{D46C6603-B896-4764-89B5-E145EAFE03D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Offshore Engg &amp; Mktg Ltd</t>
        </r>
      </text>
    </comment>
    <comment ref="I439" authorId="2" shapeId="0" xr:uid="{C85C3094-DFE4-43C0-A60B-798065998E9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I440" authorId="2" shapeId="0" xr:uid="{E7178DAA-4AD7-457A-80CD-64A6ECB59C7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Inflex Hydraulics</t>
        </r>
      </text>
    </comment>
    <comment ref="J440" authorId="2" shapeId="0" xr:uid="{4E2C909A-2505-494F-A0EB-76ACE29D7E9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Centre Point Hydraulic</t>
        </r>
      </text>
    </comment>
    <comment ref="I441" authorId="2" shapeId="0" xr:uid="{66E81290-3046-4F6C-A3E1-E516961D5C28}">
      <text>
        <r>
          <rPr>
            <b/>
            <sz val="9"/>
            <color indexed="81"/>
            <rFont val="Tahoma"/>
            <family val="2"/>
          </rPr>
          <t xml:space="preserve">Shweta:
</t>
        </r>
        <r>
          <rPr>
            <sz val="9"/>
            <color indexed="81"/>
            <rFont val="Tahoma"/>
            <family val="2"/>
          </rPr>
          <t>Lokhandwala Trading l.l.c.</t>
        </r>
      </text>
    </comment>
    <comment ref="I442" authorId="2" shapeId="0" xr:uid="{C589CC83-E217-44BD-B43C-2B14E5885A6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INSTALLATIONS MIDDLE EAST CO. LLC.</t>
        </r>
      </text>
    </comment>
    <comment ref="J442" authorId="2" shapeId="0" xr:uid="{4A2DBBF4-73A3-4FF3-ABA6-7160E1EE024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Heating Elements Trading LLC</t>
        </r>
      </text>
    </comment>
    <comment ref="K442" authorId="2" shapeId="0" xr:uid="{1003D47D-0079-4F56-BF3F-550F9847C86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BROOK MARINE EQUIPMENT TRADING CO LLC</t>
        </r>
      </text>
    </comment>
    <comment ref="L442" authorId="2" shapeId="0" xr:uid="{9AB7AE21-54E5-471E-AA1B-0E0A025D6A6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EATON UAE</t>
        </r>
      </text>
    </comment>
    <comment ref="M442" authorId="2" shapeId="0" xr:uid="{711F72B3-B6AA-4E7E-859E-E5B7E9D4E7A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HEATERS L.L.C.</t>
        </r>
      </text>
    </comment>
    <comment ref="N442" authorId="2" shapeId="0" xr:uid="{CDB4C2F9-9202-42E8-8A01-25004B1C9FA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Reliable Heaters &amp; Electricals FZC</t>
        </r>
      </text>
    </comment>
    <comment ref="O442" authorId="2" shapeId="0" xr:uid="{3FF5B73E-27FE-47E0-AF31-C0011F26A2C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Bukh Bremen GmbH</t>
        </r>
      </text>
    </comment>
    <comment ref="P442" authorId="2" shapeId="0" xr:uid="{63AB98EC-6669-4952-BCB8-0C5B6CA8F8E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Herarman LTD ŞTİ</t>
        </r>
      </text>
    </comment>
    <comment ref="I443" authorId="2" shapeId="0" xr:uid="{161B954D-E9EB-41B7-966E-1BEF7FBC69E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SEDANA TRADING</t>
        </r>
      </text>
    </comment>
    <comment ref="J443" authorId="2" shapeId="0" xr:uid="{1710B4DC-27F1-4796-9EE0-000F81300D7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HARRIS
</t>
        </r>
      </text>
    </comment>
    <comment ref="I444" authorId="2" shapeId="0" xr:uid="{072C03A3-084B-4D8E-8A2B-0BA58938536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J444" authorId="2" shapeId="0" xr:uid="{CE616ECF-F936-4A43-8F42-B39C1FEC746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GLOBAL COORDINATOR</t>
        </r>
      </text>
    </comment>
    <comment ref="I446" authorId="2" shapeId="0" xr:uid="{5EA40C2C-286A-458D-81DC-1A33170434D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BELFAST CONTROLS EQUIPMENT TRADING LLC</t>
        </r>
      </text>
    </comment>
    <comment ref="I447" authorId="2" shapeId="0" xr:uid="{145604EE-1128-478E-954A-B930BAC0DFD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GLOBAL COORDINATOR</t>
        </r>
      </text>
    </comment>
    <comment ref="I448" authorId="2" shapeId="0" xr:uid="{A882B7C7-64B1-49A1-9165-BAF6294E0B10}">
      <text>
        <r>
          <rPr>
            <b/>
            <sz val="9"/>
            <color indexed="81"/>
            <rFont val="Tahoma"/>
            <family val="2"/>
          </rPr>
          <t xml:space="preserve">Shweta:
</t>
        </r>
        <r>
          <rPr>
            <sz val="9"/>
            <color indexed="81"/>
            <rFont val="Tahoma"/>
            <family val="2"/>
          </rPr>
          <t>InstruBiz</t>
        </r>
      </text>
    </comment>
    <comment ref="J448" authorId="2" shapeId="0" xr:uid="{CBE68127-9608-4655-9972-99949CA7526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I449" authorId="2" shapeId="0" xr:uid="{CA317B77-D99D-411C-ADAF-E837067DE16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GATES ENGINEERING &amp; SERVICES FZCO</t>
        </r>
      </text>
    </comment>
    <comment ref="I451" authorId="2" shapeId="0" xr:uid="{7AB38773-8538-4754-A899-97BBA390B42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POWERGAS Oil Field Equip. Tr. LLC</t>
        </r>
      </text>
    </comment>
    <comment ref="I455" authorId="2" shapeId="0" xr:uid="{F2AD6965-2D66-42D5-A121-6F75AA7DC8F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Yousuf Motors</t>
        </r>
      </text>
    </comment>
    <comment ref="J455" authorId="2" shapeId="0" xr:uid="{5E5DBFB6-9B4E-4B17-B189-F0A6C34FAAC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MAGELLAN MARINE EQUIPMENT SOLE
PROPRIETORSHIP LLC</t>
        </r>
      </text>
    </comment>
    <comment ref="K455" authorId="2" shapeId="0" xr:uid="{D9662E6E-0B23-4DA3-B8CB-8887A09E6A3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Marmoom Marine Equipment LLC</t>
        </r>
      </text>
    </comment>
    <comment ref="I456" authorId="2" shapeId="0" xr:uid="{1D2FF087-ABC5-4218-AC91-DDEA568B66B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457" authorId="2" shapeId="0" xr:uid="{E9014970-0017-499D-9B7E-4BC90DFB9DD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KADDAS Oilfield Services &amp; Trading CO.LLC.</t>
        </r>
      </text>
    </comment>
    <comment ref="J457" authorId="2" shapeId="0" xr:uid="{B46B7BD3-3F8D-4827-BC55-A787EF0BAA7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NPF PIPES TRADING (L.L.C.)</t>
        </r>
      </text>
    </comment>
    <comment ref="I460" authorId="2" shapeId="0" xr:uid="{F9E2DA7A-83DC-4193-A3BA-813C0BFBC1B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SWIFT MARINE TECH SERVICES PTE LTD</t>
        </r>
      </text>
    </comment>
    <comment ref="J460" authorId="2" shapeId="0" xr:uid="{B433EC4D-A6E8-4645-85A0-266F6A658A3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Acorn Fire &amp; Security LTD</t>
        </r>
      </text>
    </comment>
    <comment ref="K460" authorId="2" shapeId="0" xr:uid="{A40AD196-948E-49FF-ACC0-98AFBA8B5A8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FIRE SUPPLIES</t>
        </r>
      </text>
    </comment>
    <comment ref="I462" authorId="2" shapeId="0" xr:uid="{724A59FC-D65C-41CA-AF7F-3541B731C81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Trans Light Electrical LLC</t>
        </r>
      </text>
    </comment>
    <comment ref="J462" authorId="2" shapeId="0" xr:uid="{92F88D82-819B-4AA5-B6C3-95F8377A82C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GoSwitchgear</t>
        </r>
      </text>
    </comment>
    <comment ref="K462" authorId="2" shapeId="0" xr:uid="{1180FAC5-CAAC-4CAD-B51B-B14B277A18E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Profen General Trading LLC.</t>
        </r>
      </text>
    </comment>
    <comment ref="L462" authorId="2" shapeId="0" xr:uid="{3F090F11-A9F7-41C0-B677-0D909F2EE3F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TechsVolt LLC</t>
        </r>
      </text>
    </comment>
    <comment ref="I463" authorId="2" shapeId="0" xr:uid="{5573DF7F-9C04-4F98-ACAE-0F172C82A4D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XHVAL GROUP VALVE CO.,LTD</t>
        </r>
      </text>
    </comment>
    <comment ref="J463" authorId="2" shapeId="0" xr:uid="{2139F45B-7A86-4893-B16F-566E38B3DDE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Amtech valves</t>
        </r>
      </text>
    </comment>
    <comment ref="I464" authorId="2" shapeId="0" xr:uid="{92F8FBB3-752A-4ED4-A344-7EBBF3062D7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SCHOMBURG GmbH &amp; Co.KG</t>
        </r>
      </text>
    </comment>
    <comment ref="I466" authorId="2" shapeId="0" xr:uid="{D4958C83-9ADD-420D-9DEA-B67A6EFDE62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HEATERS L.L.C.</t>
        </r>
      </text>
    </comment>
    <comment ref="J466" authorId="2" shapeId="0" xr:uid="{86731BA8-DAF8-4C19-B9B5-24587B36CBF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Promise Computer Technology LLC</t>
        </r>
      </text>
    </comment>
    <comment ref="K466" authorId="2" shapeId="0" xr:uid="{1A214C5D-86AB-4A40-97A2-AC700DAA889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Reliable Heaters &amp; Electricals FZC</t>
        </r>
      </text>
    </comment>
    <comment ref="L466" authorId="2" shapeId="0" xr:uid="{36ADA6F6-9182-45C5-9AC6-CA23AA7B46F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 Kempston Controls LLC</t>
        </r>
      </text>
    </comment>
    <comment ref="M466" authorId="2" shapeId="0" xr:uid="{C37EC2B6-D1C5-4DCD-9AF2-20B35B66AD8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Heating Elements Trading LLC</t>
        </r>
      </text>
    </comment>
    <comment ref="N466" authorId="2" shapeId="0" xr:uid="{D6CE7B32-52DC-4F13-9D04-51C5F568958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Scientechnic LLC</t>
        </r>
      </text>
    </comment>
    <comment ref="I467" authorId="2" shapeId="0" xr:uid="{E8C02B17-A890-4E7A-A355-49265AE9F7D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Electric Avenue Trading Company LLC</t>
        </r>
      </text>
    </comment>
    <comment ref="J467" authorId="2" shapeId="0" xr:uid="{7596E00A-516A-45C2-97A9-3C30AAD206A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K467" authorId="2" shapeId="0" xr:uid="{31E9D58D-A609-4D75-BDD1-A0F02021F7C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Coast &amp; Middle East Elect. Devices LLC. Sole Proprietorship</t>
        </r>
      </text>
    </comment>
    <comment ref="L467" authorId="2" shapeId="0" xr:uid="{B1065081-C002-4081-89CB-9E0346D3F92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Green Electricals
</t>
        </r>
      </text>
    </comment>
    <comment ref="I468" authorId="2" shapeId="0" xr:uid="{798ADEAE-7118-4DA0-B47A-16AFB219FE1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SRQ TRADING COMPANY LLC.</t>
        </r>
      </text>
    </comment>
    <comment ref="I471" authorId="2" shapeId="0" xr:uid="{B5CC4925-A320-4AF7-A83A-5132C3ACA87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Danus LLC</t>
        </r>
      </text>
    </comment>
    <comment ref="I474" authorId="2" shapeId="0" xr:uid="{9F0B33A6-EAB0-4A10-A7D0-2DAD2E89538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ARSA Welding &amp; Machinery Equipment Trading LLC</t>
        </r>
      </text>
    </comment>
    <comment ref="I475" authorId="2" shapeId="0" xr:uid="{8C5E0FB0-28AD-44AD-9077-47F75CB0C60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Junaid Sanitary and Electrical Materials Trading LLC.</t>
        </r>
      </text>
    </comment>
    <comment ref="I477" authorId="2" shapeId="0" xr:uid="{B536A486-FD99-4884-9531-F3114E4678B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MurCal, Inc.</t>
        </r>
      </text>
    </comment>
    <comment ref="J477" authorId="2" shapeId="0" xr:uid="{465ADFAA-1D29-4A0E-9E95-D70C56C6A94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Rajkot Diesel Machines</t>
        </r>
      </text>
    </comment>
    <comment ref="I479" authorId="2" shapeId="0" xr:uid="{BA407EC0-688D-4228-945E-A4D49020482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Midgard Oilfield Services.</t>
        </r>
      </text>
    </comment>
    <comment ref="I481" authorId="2" shapeId="0" xr:uid="{F4D2CA51-A3D6-430D-A4B4-692FD2B12BD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Amal Readymade Garments Workshop LLC</t>
        </r>
      </text>
    </comment>
    <comment ref="I485" authorId="2" shapeId="0" xr:uid="{19F17DEC-999D-403B-A40D-6E0EEA9EAA5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Pronutec</t>
        </r>
      </text>
    </comment>
    <comment ref="I486" authorId="2" shapeId="0" xr:uid="{4FFAD97D-7891-4731-83E5-816CCFBD7EE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Rotex Industrial Machinery Trading LLC</t>
        </r>
      </text>
    </comment>
    <comment ref="J486" authorId="2" shapeId="0" xr:uid="{E90E89A3-A804-4874-B43B-55592A375D5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METAL Mobility Trading LLC</t>
        </r>
      </text>
    </comment>
    <comment ref="K486" authorId="2" shapeId="0" xr:uid="{9EAAAF84-3765-4519-9FE3-A65E8F05032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SEALMECH TRADING L.L.C</t>
        </r>
      </text>
    </comment>
    <comment ref="I490" authorId="2" shapeId="0" xr:uid="{D8C8CBD9-5915-4C33-845C-D77EC78FC74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J490" authorId="2" shapeId="0" xr:uid="{C5FF612D-A1F5-40CB-9A46-11624E5651C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Accutech Middle East Fzco</t>
        </r>
      </text>
    </comment>
    <comment ref="I491" authorId="2" shapeId="0" xr:uid="{FA802D34-170B-436F-8ECD-4F735B0C8A3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Avenir Technologies FZCO</t>
        </r>
      </text>
    </comment>
    <comment ref="I492" authorId="2" shapeId="0" xr:uid="{387639D1-E31D-4D7A-B175-20D1EA5E3E2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I495" authorId="2" shapeId="0" xr:uid="{61083A21-6BF8-474B-AAAB-0DB47AA9354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MAHY KHOORY</t>
        </r>
      </text>
    </comment>
    <comment ref="J495" authorId="2" shapeId="0" xr:uid="{DAE0B894-D707-48C6-B440-A1C918823F8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SAFINAT ALSALAM BUILDING MATERIALS TRADING CO.LLC</t>
        </r>
      </text>
    </comment>
    <comment ref="K495" authorId="2" shapeId="0" xr:uid="{C28F268E-7193-40CA-B993-609366CD00A4}">
      <text>
        <r>
          <rPr>
            <b/>
            <sz val="9"/>
            <color indexed="81"/>
            <rFont val="Tahoma"/>
            <family val="2"/>
          </rPr>
          <t xml:space="preserve">Shweta:
</t>
        </r>
        <r>
          <rPr>
            <sz val="9"/>
            <color indexed="81"/>
            <rFont val="Tahoma"/>
            <family val="2"/>
          </rPr>
          <t>FALCON PUMPS TRADING LLC.</t>
        </r>
      </text>
    </comment>
    <comment ref="I498" authorId="2" shapeId="0" xr:uid="{02EC5A94-8149-4C2A-B1A8-1EDAFCF79BE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Mechanical Engineers &amp; suppliers.</t>
        </r>
      </text>
    </comment>
    <comment ref="I500" authorId="2" shapeId="0" xr:uid="{545B8F47-F288-42CC-9C7D-FA8D3954F4B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Supreme Fiberglass Ind. LLC</t>
        </r>
      </text>
    </comment>
    <comment ref="I501" authorId="2" shapeId="0" xr:uid="{00DA76B6-90DA-4EE2-A326-0E253FFE2D8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IBRAHIM ABBAS ALI TRADING</t>
        </r>
      </text>
    </comment>
    <comment ref="J501" authorId="2" shapeId="0" xr:uid="{269B4F5B-3831-42B8-B474-84D080F1214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502" authorId="2" shapeId="0" xr:uid="{A73450A0-52E6-4748-8B30-680C88A8E2D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Kun Steel</t>
        </r>
      </text>
    </comment>
    <comment ref="I503" authorId="2" shapeId="0" xr:uid="{5C9FDA52-B3F5-4904-A581-9D813300BAA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PRIMARY FLUID SYSTEMS INC.</t>
        </r>
      </text>
    </comment>
    <comment ref="I506" authorId="2" shapeId="0" xr:uid="{9CF4B1EA-D53D-49D8-BA9C-86935B4A588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Naoki Automotive Systems LLC</t>
        </r>
      </text>
    </comment>
    <comment ref="I507" authorId="2" shapeId="0" xr:uid="{041264B3-4E38-42EF-B508-878C1F21422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Coast &amp; Middle East Elect. Devices LLC. Sole Proprietorship</t>
        </r>
      </text>
    </comment>
    <comment ref="I509" authorId="2" shapeId="0" xr:uid="{C00DE8FD-EA78-44E9-83CC-DE8136CB110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Gurg Stationery
</t>
        </r>
      </text>
    </comment>
    <comment ref="I510" authorId="2" shapeId="0" xr:uid="{AD50287A-FEE5-4802-93DB-CDF0CF4E486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Zaker Trading LLC</t>
        </r>
      </text>
    </comment>
    <comment ref="J510" authorId="2" shapeId="0" xr:uid="{61EFB44F-9F55-4A39-AD0A-D07609AA579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Kamlesh Trading Co. LLC</t>
        </r>
      </text>
    </comment>
    <comment ref="I511" authorId="2" shapeId="0" xr:uid="{F418DDCC-FC7E-454F-9AE2-41028238C54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Belfast Controls</t>
        </r>
      </text>
    </comment>
    <comment ref="I512" authorId="2" shapeId="0" xr:uid="{4EA87BBC-BB9C-4FE7-9647-62EB8E87E98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RADIANT FILTERS TRADING CO LLC(BR)</t>
        </r>
      </text>
    </comment>
    <comment ref="J512" authorId="2" shapeId="0" xr:uid="{C74D4124-93C3-43FF-A654-F3FACF5835B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Queen Filter Trading LLC</t>
        </r>
      </text>
    </comment>
    <comment ref="K512" authorId="2" shapeId="0" xr:uid="{9F519A58-6AA0-4249-8E36-9AF9FEA776B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RAJ AIR CONDITIONING SYSTEMS LLC</t>
        </r>
      </text>
    </comment>
    <comment ref="L512" authorId="2" shapeId="0" xr:uid="{6E02BE2A-5584-4BEE-B1E4-099A210FC0D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alkhalij enterprises LLC</t>
        </r>
      </text>
    </comment>
    <comment ref="M512" authorId="2" shapeId="0" xr:uid="{1E9D47AF-FABA-4AE0-99DB-AB35D2235B9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Duct Pro LLC</t>
        </r>
      </text>
    </comment>
    <comment ref="I513" authorId="2" shapeId="0" xr:uid="{1BD3F8D3-1F1A-457B-A427-2F2962449AB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Sonta Tools L.L.C</t>
        </r>
      </text>
    </comment>
    <comment ref="J513" authorId="2" shapeId="0" xr:uid="{BF8456DB-B340-4204-B7B5-269FF72557D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Signet Industrial Distribution Ltd</t>
        </r>
      </text>
    </comment>
    <comment ref="K513" authorId="2" shapeId="0" xr:uid="{A71C51E8-9B8A-40D8-94AA-1865476E50A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AEI Supplies FZE</t>
        </r>
      </text>
    </comment>
    <comment ref="I514" authorId="2" shapeId="0" xr:uid="{D0183EF0-0399-4303-AD92-047F4A5212B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ControlTech Supply Limited</t>
        </r>
      </text>
    </comment>
    <comment ref="J514" authorId="2" shapeId="0" xr:uid="{AB9C99E8-70E6-4BA1-B0A9-E09263C99D9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Apterpower Automation</t>
        </r>
      </text>
    </comment>
    <comment ref="K514" authorId="2" shapeId="0" xr:uid="{F50DD890-5B2B-414C-AB08-2B637041F88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L514" authorId="2" shapeId="0" xr:uid="{4880588F-CF00-456B-8640-98698837198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516" authorId="2" shapeId="0" xr:uid="{FD031307-B001-4B8F-A42F-8AA806413A8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Atlas Copco Services Middle East SPC</t>
        </r>
      </text>
    </comment>
    <comment ref="J516" authorId="2" shapeId="0" xr:uid="{39C15EB1-D15F-4105-B362-5967DF46DAC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Technical Equipment &amp; Hydraulic Factory LLC</t>
        </r>
      </text>
    </comment>
    <comment ref="I517" authorId="2" shapeId="0" xr:uid="{94E2D54F-6E14-44EE-9AB5-344A79EB1C1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Systemair</t>
        </r>
      </text>
    </comment>
    <comment ref="I519" authorId="2" shapeId="0" xr:uid="{7AE14BCF-5DDB-455E-86F0-D9D79A47174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Mineral Circles Bearings FZCO</t>
        </r>
      </text>
    </comment>
    <comment ref="J519" authorId="2" shapeId="0" xr:uid="{1D53C217-D79A-40F6-9418-6B8D18715F1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MECHANICAL ENGINEERS &amp; SUPPLIERS LLC.</t>
        </r>
      </text>
    </comment>
    <comment ref="I522" authorId="2" shapeId="0" xr:uid="{D9406465-4732-4F5E-A92A-F228FDB232D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Petrofac Qatar W.L.L.</t>
        </r>
      </text>
    </comment>
    <comment ref="I523" authorId="2" shapeId="0" xr:uid="{E3F3049F-14C7-4B82-A560-EEF6E8CBD79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Yasmeen Electrical Trading</t>
        </r>
      </text>
    </comment>
    <comment ref="J523" authorId="2" shapeId="0" xr:uid="{7F2E1814-7BC6-45A9-B6BA-74935FB99A6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 Industries LLC</t>
        </r>
      </text>
    </comment>
    <comment ref="K523" authorId="2" shapeId="0" xr:uid="{F93DE03E-42D4-4B7D-BB12-8CC2AC27345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ARABIAN FALCON ELECTRICAL EQUIPMENT LLC</t>
        </r>
      </text>
    </comment>
    <comment ref="L523" authorId="2" shapeId="0" xr:uid="{1241CFAE-F2B5-4C38-95FB-E31E12C9EC7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PRAKASH TRADING Co. L.L.C</t>
        </r>
      </text>
    </comment>
    <comment ref="I524" authorId="2" shapeId="0" xr:uid="{A73C2FDC-0AEB-4ACF-B706-E7236C3765F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MIDCO EQUIPMENT LLC</t>
        </r>
      </text>
    </comment>
    <comment ref="I525" authorId="2" shapeId="0" xr:uid="{4D053CCA-DB14-4395-9FFD-D6B08CD99B6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Yousuf Motors</t>
        </r>
      </text>
    </comment>
    <comment ref="I526" authorId="2" shapeId="0" xr:uid="{EFD0E12F-2DED-4D75-8927-545933C524A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ANBI General Trading LLC.</t>
        </r>
      </text>
    </comment>
    <comment ref="J526" authorId="2" shapeId="0" xr:uid="{9FAC0518-9F2E-409F-BE8A-2E1FB8752AE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TEE DEE TRADING LLC.</t>
        </r>
      </text>
    </comment>
    <comment ref="K526" authorId="2" shapeId="0" xr:uid="{C9E1B290-A3B2-45A0-86FF-B560CA2CF90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RAK Middle East Traders LLC</t>
        </r>
      </text>
    </comment>
    <comment ref="I527" authorId="2" shapeId="0" xr:uid="{D33A340B-8A15-4F6F-A957-CF335876CD4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RADIANT FILTERS TRADING CO LLC</t>
        </r>
      </text>
    </comment>
    <comment ref="I528" authorId="2" shapeId="0" xr:uid="{2B317069-8059-49AD-B98C-240C1E49592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N E W QAMAR GENERAL TRADING LLC</t>
        </r>
      </text>
    </comment>
    <comment ref="J528" authorId="2" shapeId="0" xr:uid="{35BF7E3B-0BB7-41ED-9ADC-4D4FBB7F0AB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Rope &amp; Plastic Products Co. LLC</t>
        </r>
      </text>
    </comment>
    <comment ref="K528" authorId="2" shapeId="0" xr:uid="{4BC52BB5-B4AF-4B78-881D-03EB5187274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Roma Enterprises</t>
        </r>
      </text>
    </comment>
    <comment ref="L528" authorId="2" shapeId="0" xr:uid="{36520264-B026-4D3F-87D2-80829378B94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Sarsanwala Trading Co LLC</t>
        </r>
      </text>
    </comment>
    <comment ref="M528" authorId="2" shapeId="0" xr:uid="{80792132-136B-48E2-A6F8-21954281917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Anchor Allied Factory LLC</t>
        </r>
      </text>
    </comment>
    <comment ref="N528" authorId="2" shapeId="0" xr:uid="{DEF19C10-1293-42FC-8979-32E4F56CC83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Dani Trading LLC</t>
        </r>
      </text>
    </comment>
    <comment ref="I529" authorId="2" shapeId="0" xr:uid="{7CCD4618-273E-47E4-92FD-9FDB1E818F3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TriCol ICS Control Systems LLC</t>
        </r>
      </text>
    </comment>
    <comment ref="I530" authorId="2" shapeId="0" xr:uid="{57D85990-2F19-4CC8-ADA8-A3A9044FC34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Sonta Tools L.L.C</t>
        </r>
      </text>
    </comment>
    <comment ref="J530" authorId="2" shapeId="0" xr:uid="{EBE0B1C6-29A6-4FB4-BBF9-A526200335F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K530" authorId="2" shapeId="0" xr:uid="{BABD377D-7D63-484D-8BFC-DDDE2550826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Anaum Measuring Equipment LLC</t>
        </r>
      </text>
    </comment>
    <comment ref="L530" authorId="2" shapeId="0" xr:uid="{45952DE4-F0BC-47C1-B0B9-7B5D0CA20A9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Central Motors &amp; Equipment's</t>
        </r>
      </text>
    </comment>
    <comment ref="M530" authorId="2" shapeId="0" xr:uid="{EC162AA9-9FC4-47B7-BC0D-F1ADD4A402F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M.husain &amp; Bros LLC</t>
        </r>
      </text>
    </comment>
    <comment ref="N530" authorId="2" shapeId="0" xr:uid="{4A2211BF-89B1-49C3-A35B-1AB0A926DAC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Zaker Trading L.L.C.</t>
        </r>
      </text>
    </comment>
    <comment ref="O530" authorId="2" shapeId="0" xr:uid="{C07F36A2-A0A5-4CB1-B8F4-AB412C1E473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P530" authorId="2" shapeId="0" xr:uid="{B5BCC01D-3A10-46E3-8B1B-466D3AF7F42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MIDCO EQUIPMENT LLC</t>
        </r>
      </text>
    </comment>
    <comment ref="Q530" authorId="2" shapeId="0" xr:uid="{A9B709EC-15FD-4F4F-AB79-A0DA8EF5E3A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Masaood Energy
</t>
        </r>
      </text>
    </comment>
    <comment ref="I533" authorId="2" shapeId="0" xr:uid="{6EC9257D-8A09-4ED2-9F64-55EE4B874B7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Sabiq Oil and Gas Solutions LLC </t>
        </r>
      </text>
    </comment>
    <comment ref="J533" authorId="2" shapeId="0" xr:uid="{46BA62E2-C807-4125-8DA3-35DD5A73F50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Oil &amp; Gas International FZE</t>
        </r>
      </text>
    </comment>
    <comment ref="I538" authorId="2" shapeId="0" xr:uid="{26543171-4C15-4A38-84A1-1C6EA384D76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NSC Middle East FZ - LLC</t>
        </r>
      </text>
    </comment>
    <comment ref="J538" authorId="2" shapeId="0" xr:uid="{BCBE4CF7-85F9-4D0A-A0B2-4030E35C3CA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Win Well Fze</t>
        </r>
      </text>
    </comment>
    <comment ref="K538" authorId="2" shapeId="0" xr:uid="{60234BA9-80E6-4311-92DE-71BA9D9467B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540" authorId="2" shapeId="0" xr:uid="{8704E588-99C1-4748-8C49-B305012E955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HYDROPLAST PIPING SYSTEMS</t>
        </r>
      </text>
    </comment>
    <comment ref="J540" authorId="2" shapeId="0" xr:uid="{EEB31BAA-137D-4BC1-B4CA-967D2CDC391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HYDROPLAST PIPING SYSTEMS</t>
        </r>
      </text>
    </comment>
    <comment ref="I543" authorId="2" shapeId="0" xr:uid="{A1EA9D85-7CC4-4A9D-B870-FE1196ED681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Centena Group</t>
        </r>
      </text>
    </comment>
    <comment ref="I545" authorId="2" shapeId="0" xr:uid="{E484CEEE-7D74-4C73-BAD4-DE4C72FE791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Mogul Electromech LLC</t>
        </r>
      </text>
    </comment>
    <comment ref="I547" authorId="2" shapeId="0" xr:uid="{5E783A07-04CE-4129-BA9C-C1F5617675C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47" authorId="2" shapeId="0" xr:uid="{19DB4AC3-EE25-42C1-A3BF-4E29BCDD0E6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Ramrod General Trading LLC</t>
        </r>
      </text>
    </comment>
    <comment ref="K547" authorId="2" shapeId="0" xr:uid="{694BB134-F5DC-4660-A5BE-9505A5411F9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Haris Al Afaq</t>
        </r>
      </text>
    </comment>
    <comment ref="L547" authorId="2" shapeId="0" xr:uid="{A2A701FA-C679-4CC7-9077-7C5C3FA6DF5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Fakhruddin Kaderbhai Trd. Co. LLC.</t>
        </r>
      </text>
    </comment>
    <comment ref="M547" authorId="2" shapeId="0" xr:uid="{5829409D-23A0-485E-A29E-7BF6640698C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Rahat Trading Co. LLC</t>
        </r>
      </text>
    </comment>
    <comment ref="N547" authorId="2" shapeId="0" xr:uid="{18AD45BD-5B96-429E-8054-ECDA9A7A051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Installations Middle East Co. L.L.C.</t>
        </r>
      </text>
    </comment>
    <comment ref="O547" authorId="2" shapeId="0" xr:uid="{E8921EF7-5229-4E1F-8EF7-FC49E9D2CFC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STEIGEN CONSULTANTS PRIVATE LIMITED</t>
        </r>
      </text>
    </comment>
    <comment ref="P547" authorId="2" shapeId="0" xr:uid="{F229BDF2-BCE4-4E69-8979-81311246E66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Adex International LLC</t>
        </r>
      </text>
    </comment>
    <comment ref="Q547" authorId="2" shapeId="0" xr:uid="{424FF0ED-8F56-480C-930E-06231C18C35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FAQIHI ENTERPRISES (L.L.C)</t>
        </r>
      </text>
    </comment>
    <comment ref="I548" authorId="2" shapeId="0" xr:uid="{9A141FF3-DF71-4893-904C-4983188364D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AUMA ME FZE – Dubai, U.A.E</t>
        </r>
      </text>
    </comment>
    <comment ref="I553" authorId="2" shapeId="0" xr:uid="{01199703-793C-4BF5-BC57-21AA64632EF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Jazeera International General Trading L.L.C.</t>
        </r>
      </text>
    </comment>
    <comment ref="J553" authorId="2" shapeId="0" xr:uid="{0D34A564-CC1B-4B4B-9B29-18C8925CD77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Fibco Plastic Industry LLC</t>
        </r>
      </text>
    </comment>
    <comment ref="I555" authorId="2" shapeId="0" xr:uid="{226FE46D-D4DF-4606-BBD4-58D3CB4B149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KAUKABAN ENTERPRISE LLC</t>
        </r>
      </text>
    </comment>
    <comment ref="J555" authorId="2" shapeId="0" xr:uid="{2EF98DEA-E451-481C-91C7-9BF43F04A61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K555" authorId="2" shapeId="0" xr:uid="{29A8A392-539E-4E81-9EFB-AF52F215EDE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I556" authorId="2" shapeId="0" xr:uid="{E45BB2A5-4861-4A05-B259-801F1E0F397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Customer Delight Trading
 LLC</t>
        </r>
      </text>
    </comment>
    <comment ref="I559" authorId="2" shapeId="0" xr:uid="{3A67F473-177D-4609-843B-B74E5CDA4CB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BECKHOFF Automation FZE</t>
        </r>
      </text>
    </comment>
    <comment ref="I560" authorId="2" shapeId="0" xr:uid="{41004A5D-1BBF-41B5-AAB6-41423BFD16C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HATTA TRADING AND SERVICES LLC
</t>
        </r>
      </text>
    </comment>
    <comment ref="I561" authorId="2" shapeId="0" xr:uid="{DB0092F8-C63C-490F-A905-5FCF79B8D2C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First Star Oilfield Equipment &amp; Services LLC</t>
        </r>
      </text>
    </comment>
    <comment ref="J561" authorId="2" shapeId="0" xr:uid="{EC1129FB-A563-40D4-99B8-A45CDEBE162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For QUADWING TECHNICAL SERVICES LLC
Vincey K.M
Sales coordinator
+971 501719665</t>
        </r>
      </text>
    </comment>
    <comment ref="I566" authorId="2" shapeId="0" xr:uid="{F2BECC38-251C-4F60-AE89-677B934D5FC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Edge Technical Solutions LLC
</t>
        </r>
      </text>
    </comment>
    <comment ref="J566" authorId="2" shapeId="0" xr:uid="{C1216760-A333-48CF-B441-F83078CD7CA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Fire Supplies</t>
        </r>
      </text>
    </comment>
    <comment ref="I568" authorId="2" shapeId="0" xr:uid="{23D22148-6E16-4D0F-A3EF-6A77EF1B876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Shanghai Walmay Metal Group Co.,Ltd</t>
        </r>
      </text>
    </comment>
    <comment ref="I569" authorId="2" shapeId="0" xr:uid="{39C11809-8150-4266-84DB-939B9703035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Truso Engineering Equipment Trading Ltd</t>
        </r>
      </text>
    </comment>
    <comment ref="I570" authorId="2" shapeId="0" xr:uid="{FA4BDFC1-A03F-4030-A91E-9B6F480CE5D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Swift &amp; Solutions</t>
        </r>
      </text>
    </comment>
    <comment ref="J570" authorId="2" shapeId="0" xr:uid="{5C585748-BB3E-48D4-A3D2-342DBEB1DA7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Entra Middle East L.L.C-FZ</t>
        </r>
      </text>
    </comment>
    <comment ref="K570" authorId="2" shapeId="0" xr:uid="{B5F1796F-4F82-481F-A716-809ECF8E31E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UNITED ENERGY FZC</t>
        </r>
      </text>
    </comment>
    <comment ref="I577" authorId="2" shapeId="0" xr:uid="{EC42A56D-E0B1-4254-9457-16C6DC133E5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KSB Service LLC
Eng. Ali Alblooshi
Sales Engineer
KSB SupremeServ ME
Mob: +971 506621859
Email: ali.alblooshi@ksb.com – Website: www.ksb.com
PO Box 322 - KHIA5-40A  - Metals Road - KIZAD - Abu Dhabi – UAE</t>
        </r>
      </text>
    </comment>
    <comment ref="I578" authorId="2" shapeId="0" xr:uid="{490A4DB7-0ACD-4A2C-84D0-B1F6D8F4349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RedRock Automation Ltd</t>
        </r>
      </text>
    </comment>
    <comment ref="J578" authorId="2" shapeId="0" xr:uid="{F090B8FF-45EE-425F-9BD2-E29933DBD4F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Rockwood International LLC,
Nishanth Narikodan
Sales Manager
+971 50 5541290</t>
        </r>
      </text>
    </comment>
    <comment ref="I579" authorId="2" shapeId="0" xr:uid="{C78F54A2-4FB8-4EC8-BC98-EFEF2058934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SUN POWER GEN SYSTEMS &amp; SERVICES LLC
ANAND ISSRANI / HARIKRISHNAN P
Mob: +971 050 8773564 / + 971 050 9115395
SUN POWER GEN SYSTEMS &amp; SERVICES LLC
M20  MUSSAFAH ABU DHABI  | ISO 9001 : 2015 Certified
Email : adcounter@sunpowergen.com
www.sunpower.ae | Click to View Location</t>
        </r>
      </text>
    </comment>
    <comment ref="J579" authorId="2" shapeId="0" xr:uid="{A541C4E6-8FFB-4058-BB80-F752ECB79CC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ESMA Group</t>
        </r>
      </text>
    </comment>
    <comment ref="I582" authorId="2" shapeId="0" xr:uid="{9F770B17-37E3-4686-8785-F8266933F62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SKYWAY Trading Co.LLC</t>
        </r>
      </text>
    </comment>
    <comment ref="J582" authorId="2" shapeId="0" xr:uid="{351453D4-3EEE-4880-8331-6376EE8ABEE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584" authorId="2" shapeId="0" xr:uid="{0C7962BE-EC31-4565-8D8D-1F98C04129D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AUMA Middle East FZE
ZG-03, ZG-04 Jebel Ali-North Zone
PO Box. No. 263889
Dubai - United Arab Emirates</t>
        </r>
      </text>
    </comment>
    <comment ref="I588" authorId="2" shapeId="0" xr:uid="{0798BA3D-E8C6-4A55-9957-8842BCAF89B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SPARK WHEEL BALANCE
MUHAMMED SHANID
SALES MANAGER
(0564636457 / 0502881071/0508762457)
SPARK WHEEL BALANCE
Your Safety Our Mission
M / 12, Musaffah, Abu Dhabi, UAE.
Tel : -  02 550 6463
Fax : - 02 550 8076</t>
        </r>
      </text>
    </comment>
    <comment ref="J588" authorId="2" shapeId="0" xr:uid="{C0C83069-AF97-4276-AA6B-E722D1B233C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NEW BHARATH TYRES L.L.C.
www.newbharathpitstop.com
T: +971 4 263 0606
F: +971 4 263 4202
P.O. Box: 233542, 
Baghdad Street, 
Al Qusais 2,
Dubai, 
United Arab Emirates.</t>
        </r>
      </text>
    </comment>
    <comment ref="I594" authorId="2" shapeId="0" xr:uid="{3413D664-67F5-46A8-A446-1F49E246874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Hydrofit Trading L.L.C</t>
        </r>
      </text>
    </comment>
    <comment ref="I595" authorId="2" shapeId="0" xr:uid="{A2F9B6D4-F873-4C14-B004-D3C1AC52ADE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GF Corys Piping Systems LLC</t>
        </r>
      </text>
    </comment>
    <comment ref="I596" authorId="2" shapeId="0" xr:uid="{16A1A27A-5CAD-4AD3-9CD7-0F8B3E71966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I597" authorId="2" shapeId="0" xr:uid="{95194B19-89B6-4349-AF35-A713F71BE70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FLUTEC INDUSTRIES</t>
        </r>
      </text>
    </comment>
    <comment ref="I598" authorId="2" shapeId="0" xr:uid="{43695400-7978-478C-816E-7949E57E154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Petro Middle East</t>
        </r>
      </text>
    </comment>
    <comment ref="I600" authorId="2" shapeId="0" xr:uid="{90E12E27-D53C-4A18-8A8E-4716EAF1A5F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NISBA TRADING LLC </t>
        </r>
      </text>
    </comment>
    <comment ref="I603" authorId="2" shapeId="0" xr:uid="{0FDF7D02-CA36-450A-9D23-391ACD0CAEA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ITALVALV SRL</t>
        </r>
      </text>
    </comment>
    <comment ref="I604" authorId="2" shapeId="0" xr:uid="{2F036406-9832-48D8-9F81-34EE857B9E6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spectrum7 Trading</t>
        </r>
      </text>
    </comment>
    <comment ref="I615" authorId="2" shapeId="0" xr:uid="{6C2C6A7F-217A-4580-A9B3-B930D38F808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Scriber Signs</t>
        </r>
      </text>
    </comment>
    <comment ref="J615" authorId="2" shapeId="0" xr:uid="{C6BF9F53-E7B9-4C3F-BE36-B77095D6629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AEI Supplies FZE</t>
        </r>
      </text>
    </comment>
    <comment ref="I624" authorId="2" shapeId="0" xr:uid="{E14F5FCA-9E3A-4153-9DC5-3E72593D851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Modern Eastern Trading FZC</t>
        </r>
      </text>
    </comment>
    <comment ref="J624" authorId="2" shapeId="0" xr:uid="{1891B3ED-5282-4AF8-9FC1-C793F59D91B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LOTO SAFETY PRODUCTS</t>
        </r>
      </text>
    </comment>
    <comment ref="I625" authorId="2" shapeId="0" xr:uid="{69638B67-E7E3-4693-B36A-596954B6F9D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Golden Tools Trading LLC</t>
        </r>
      </text>
    </comment>
    <comment ref="J625" authorId="2" shapeId="0" xr:uid="{3456ECB1-1FD7-44A2-85BB-44E1771170D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Ali Yaqoob Trading Co. L.L.C.</t>
        </r>
      </text>
    </comment>
    <comment ref="I626" authorId="2" shapeId="0" xr:uid="{12B377DD-6396-485D-95AA-8682E7D48E8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Ras Building Material Sanitaryware &amp; Electrical CO (L.L.C)</t>
        </r>
      </text>
    </comment>
    <comment ref="I635" authorId="2" shapeId="0" xr:uid="{0097735F-1677-4D70-A4EB-D14BC9C9425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I640" authorId="2" shapeId="0" xr:uid="{552A9B8F-2A96-484D-A334-6960906BA9D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Inoxium Tubi Pipes Industry LLC</t>
        </r>
      </text>
    </comment>
    <comment ref="I642" authorId="2" shapeId="0" xr:uid="{5676EF3B-C537-4320-8AAF-C50E8971062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Belfast Controls</t>
        </r>
      </text>
    </comment>
    <comment ref="I644" authorId="2" shapeId="0" xr:uid="{3D1D25CF-BA06-43D6-A060-CBD609A0FDF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646" authorId="2" shapeId="0" xr:uid="{FCF21608-5896-424F-AB39-AAD6E1D8A95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Controls Supply Chain B.V. </t>
        </r>
      </text>
    </comment>
    <comment ref="I647" authorId="2" shapeId="0" xr:uid="{09FD60FB-ED34-47F4-AA39-84DBCE5CFB0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EASTWIND SAFETY EQUIPMENT &amp; SERVICES
</t>
        </r>
      </text>
    </comment>
    <comment ref="I653" authorId="2" shapeId="0" xr:uid="{EAEC3CF2-3B32-4F1B-B5E4-35A62B18912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Alfa Laval Technologies Equipment and Service Solutions</t>
        </r>
      </text>
    </comment>
    <comment ref="I655" authorId="2" shapeId="0" xr:uid="{A3488139-012F-4A87-8121-76761DBC7C3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 Industries LLC</t>
        </r>
      </text>
    </comment>
    <comment ref="I656" authorId="2" shapeId="0" xr:uid="{9E585C8D-F5F2-46B7-BB6F-5C59A6288E3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Castle Refrigeration Equipment Trading L.L.C
</t>
        </r>
      </text>
    </comment>
    <comment ref="J656" authorId="2" shapeId="0" xr:uid="{2443E11E-4724-47D1-9802-A6D1465A763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SAHARA AIR-CONDITIONING &amp; REFRIGERATION TRADING LLC</t>
        </r>
      </text>
    </comment>
    <comment ref="K656" authorId="2" shapeId="0" xr:uid="{6A9EE3DA-12E6-46EA-8B6E-E5B62686142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REFRIGERANTS TRADING LLC</t>
        </r>
      </text>
    </comment>
    <comment ref="L656" authorId="2" shapeId="0" xr:uid="{520554CA-8696-4DFF-AAE7-02F234A2C4D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Uranus air-conditioning and refrigeration trading</t>
        </r>
      </text>
    </comment>
    <comment ref="I658" authorId="2" shapeId="0" xr:uid="{ED92C2E7-774E-4AE4-94AB-B628DE213F0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General Tech Services</t>
        </r>
      </text>
    </comment>
    <comment ref="I659" authorId="2" shapeId="0" xr:uid="{BF4551A1-77E5-4EFA-9A20-846AF9CAC95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Instrument | SafeMed Supplies</t>
        </r>
      </text>
    </comment>
    <comment ref="J659" authorId="2" shapeId="0" xr:uid="{EE079C14-2EDD-4D66-8172-78D3564BB41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Future Sky Equipment LLC</t>
        </r>
      </text>
    </comment>
    <comment ref="I662" authorId="2" shapeId="0" xr:uid="{1E1318DE-986A-4840-8A2A-B5BFDB065AC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GF Corys</t>
        </r>
      </text>
    </comment>
    <comment ref="I663" authorId="2" shapeId="0" xr:uid="{F73CE2C8-2F01-4E81-AC7A-57219642112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Arabian German Co.</t>
        </r>
      </text>
    </comment>
    <comment ref="I664" authorId="2" shapeId="0" xr:uid="{16D052BC-5028-48AA-B134-608734587B2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Uranus air-conditioning and refrigeration trading</t>
        </r>
      </text>
    </comment>
    <comment ref="I665" authorId="2" shapeId="0" xr:uid="{AF73D212-08EB-4A1A-B49A-242F6313EFE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Kanoo Machinery</t>
        </r>
      </text>
    </comment>
    <comment ref="I666" authorId="2" shapeId="0" xr:uid="{3364CB08-5AB9-466B-A9A4-26D41CA1001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Standard Technical Supply LLC</t>
        </r>
      </text>
    </comment>
    <comment ref="I667" authorId="2" shapeId="0" xr:uid="{03B14C9A-28E1-4ED8-95BE-1B915C62069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Rajkot Diesel Machines</t>
        </r>
      </text>
    </comment>
    <comment ref="I668" authorId="2" shapeId="0" xr:uid="{EB542195-27A7-48E0-9C45-C71062ECD19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Ras Building Material Sanitaryware &amp; Electrical CO (L.L.C)</t>
        </r>
      </text>
    </comment>
    <comment ref="I670" authorId="2" shapeId="0" xr:uid="{DAE5CBD5-10F9-4B2A-93CB-0CF61A43F39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SAHARA AIR-CONDITIONING &amp; REFRIGERATION TRADING LLC</t>
        </r>
      </text>
    </comment>
    <comment ref="J670" authorId="2" shapeId="0" xr:uid="{8A0EA2B4-A7F1-4C84-971E-047BB179950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Lenntech DMCC
Middle East</t>
        </r>
      </text>
    </comment>
    <comment ref="I671" authorId="2" shapeId="0" xr:uid="{D002A684-4FE5-4393-B5B3-04AB41980FB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Misar Trading Co. LLC</t>
        </r>
      </text>
    </comment>
    <comment ref="J671" authorId="2" shapeId="0" xr:uid="{CFE0D00D-3840-4850-AC0E-CC878D2F2E3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Fakhruddin Kaderbhai Trd. Co. LLC.</t>
        </r>
      </text>
    </comment>
    <comment ref="I673" authorId="2" shapeId="0" xr:uid="{59CBA1EE-1604-4DB1-B38C-C8F1417F0D1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GALADARI ENERGY SOLUTION LLC</t>
        </r>
      </text>
    </comment>
    <comment ref="I675" authorId="2" shapeId="0" xr:uid="{416B04EC-8B79-4981-85F4-2CA3BF7EE91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Broady Flow Control, HULL, UK</t>
        </r>
      </text>
    </comment>
    <comment ref="J675" authorId="2" shapeId="0" xr:uid="{91D8BE95-B2B3-46A4-A332-8CCDD21121D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BELFAST CONTROLS EQUIPMENT TRADING LLC</t>
        </r>
      </text>
    </comment>
    <comment ref="I676" authorId="2" shapeId="0" xr:uid="{46D6F147-CAB9-4547-A7B3-F107FF8D3C9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Systemair Trading LLC
Office M-09, The Curve Building, Sheikh Zayed Road
PO. Box 391 989 Dubai, United Arab Emirates
Phone: +971 434 77 901, Fax: +971 4 34 77 902
Mobile: +971 52 904 6743
koushicaram.k@systemair.ae
www.systemair.ae</t>
        </r>
      </text>
    </comment>
    <comment ref="I677" authorId="2" shapeId="0" xr:uid="{01C7F0E8-48FA-4AE2-AFF2-AE002E9CEF1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Aeliya Marine Tech Pvt. Ltd</t>
        </r>
      </text>
    </comment>
    <comment ref="J677" authorId="2" shapeId="0" xr:uid="{176B10A1-3E4B-4EB7-AEE5-617672697A4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ControlTech Supply Limited</t>
        </r>
      </text>
    </comment>
    <comment ref="K677" authorId="2" shapeId="0" xr:uid="{E6CA8C04-8F48-49A4-8262-A0FD33F5794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Amikon Limited</t>
        </r>
      </text>
    </comment>
    <comment ref="I678" authorId="2" shapeId="0" xr:uid="{0154B7E1-E2F8-4032-B07B-65C35943451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SUPER TECHNICAL FZCO</t>
        </r>
      </text>
    </comment>
    <comment ref="J678" authorId="2" shapeId="0" xr:uid="{130741B7-F1C7-4E74-82F6-98AB6C4B8B1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MIDCO EQUIPMENT LLC</t>
        </r>
      </text>
    </comment>
    <comment ref="K678" authorId="2" shapeId="0" xr:uid="{F83C6F80-4D70-45C0-BAD5-A1DE661EA19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Anaum Measuring Equipment LLC</t>
        </r>
      </text>
    </comment>
    <comment ref="I679" authorId="2" shapeId="0" xr:uid="{523AC2C3-90FB-4C8E-A86F-9CC9C2083F8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J679" authorId="2" shapeId="0" xr:uid="{64EBA307-FCF3-4280-890C-43B0EE18AFD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MECHANICAL ENGINEERS &amp; SUPPLIERS LLC</t>
        </r>
      </text>
    </comment>
    <comment ref="K679" authorId="2" shapeId="0" xr:uid="{7C567A0E-5909-4126-B864-3D0E973FAAA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MINERAL CIRCLES BEARINGS FZCO</t>
        </r>
      </text>
    </comment>
    <comment ref="I680" authorId="2" shapeId="0" xr:uid="{B7411B6D-8072-4D76-B781-DB241EE12FB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BROYCE Electrical Fittings Trading LLC</t>
        </r>
      </text>
    </comment>
    <comment ref="J680" authorId="2" shapeId="0" xr:uid="{84F6E845-7E50-43DD-8291-567EB6BB82C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K680" authorId="2" shapeId="0" xr:uid="{E4007D8C-9F83-44F1-A592-936382BDD53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ROVE ELECTRIC LLC</t>
        </r>
      </text>
    </comment>
    <comment ref="L680" authorId="2" shapeId="0" xr:uid="{9E38F97F-15FE-4D13-BADE-EF148EE638A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Lenntech DMCC</t>
        </r>
      </text>
    </comment>
    <comment ref="M680" authorId="2" shapeId="0" xr:uid="{770C7EEC-B2AE-427F-80B2-37E95BC4847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HES ELECTRONICS</t>
        </r>
      </text>
    </comment>
    <comment ref="I682" authorId="2" shapeId="0" xr:uid="{5146B161-E07D-4CD6-B9BA-DF64795CC19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Dutest</t>
        </r>
      </text>
    </comment>
    <comment ref="J682" authorId="2" shapeId="0" xr:uid="{BAA4713F-4692-48EF-8211-7EC4797A00E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 Hussain &amp; Bros LLC</t>
        </r>
      </text>
    </comment>
    <comment ref="K682" authorId="2" shapeId="0" xr:uid="{E598FB5C-4DF9-41CF-9480-4BEB18A7EC3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Zaker Trading LLC</t>
        </r>
      </text>
    </comment>
    <comment ref="I683" authorId="2" shapeId="0" xr:uid="{1AC51C9E-0BCC-4244-9BEE-6C3098B88AA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SAFINAT ALSALAM BUILDING MATERIALS TRADING CO.LLC</t>
        </r>
      </text>
    </comment>
    <comment ref="J683" authorId="2" shapeId="0" xr:uid="{A86B4704-3F9C-4C05-86C9-6844C9BE3FE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GLS General Trading LLC</t>
        </r>
      </text>
    </comment>
    <comment ref="I690" authorId="2" shapeId="0" xr:uid="{D8561789-0E3A-493C-A588-9C570FA1717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Easy World Automation (eWorld)</t>
        </r>
      </text>
    </comment>
    <comment ref="I693" authorId="2" shapeId="0" xr:uid="{E88C8007-78DC-4F1C-A9DF-C6635A24F7F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BATTERY MASTER UAE</t>
        </r>
      </text>
    </comment>
    <comment ref="J693" authorId="2" shapeId="0" xr:uid="{07935690-749D-4A9C-8DA9-1E4E0D61A18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ANAA HOLDING LLC</t>
        </r>
      </text>
    </comment>
    <comment ref="K693" authorId="2" shapeId="0" xr:uid="{2B402952-59A4-4AEC-B14B-3BC7CE75F67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Scott Power Corporation</t>
        </r>
      </text>
    </comment>
    <comment ref="I694" authorId="2" shapeId="0" xr:uid="{B3FDCB00-7191-4424-86A4-AF0BAF208A5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ELECTROSHOPE LLC</t>
        </r>
      </text>
    </comment>
    <comment ref="J694" authorId="2" shapeId="0" xr:uid="{879C0CE1-A959-4D88-BA58-52D133EC9A0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Pioneers Electricals LLC</t>
        </r>
      </text>
    </comment>
    <comment ref="I695" authorId="2" shapeId="0" xr:uid="{53FA1F69-2F98-4E58-BD2B-BD5FBB7420C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Golden Seal Heavy Duty Equipment &amp; Machinery Spare Parts Trading L.L.C.</t>
        </r>
      </text>
    </comment>
    <comment ref="J695" authorId="2" shapeId="0" xr:uid="{624BBC5A-0A63-4D16-AFC9-0A5B08187BF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Ali Yaqoob Trading</t>
        </r>
      </text>
    </comment>
    <comment ref="K695" authorId="2" shapeId="0" xr:uid="{F2C11CF0-7316-4F57-9472-0EBC7F4A2EF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Golden Tools Trading</t>
        </r>
      </text>
    </comment>
    <comment ref="I697" authorId="2" shapeId="0" xr:uid="{B7712FC3-D867-4C45-A4AD-8AA13E1D33D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ARWANI TRADING COMPANY</t>
        </r>
      </text>
    </comment>
    <comment ref="J697" authorId="2" shapeId="0" xr:uid="{DCE0A12C-17BC-46AA-B081-D28D4F4ED21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TECHNOS MULTILINE LLC</t>
        </r>
      </text>
    </comment>
    <comment ref="I698" authorId="2" shapeId="0" xr:uid="{024C3BFB-F84B-465A-BC12-60414F13C05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MINERAL CIRCLES BEARINGS FZCO</t>
        </r>
      </text>
    </comment>
    <comment ref="I699" authorId="2" shapeId="0" xr:uid="{C45D2CAD-DAB1-42E8-A502-596B9A37687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MONILEK OILFIELD ENTERPRISES</t>
        </r>
      </text>
    </comment>
    <comment ref="I701" authorId="2" shapeId="0" xr:uid="{8B9E57F7-C739-4F43-AAF8-3DC62598D88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Zeemac Spare Parts Trading L.L.C.</t>
        </r>
      </text>
    </comment>
    <comment ref="J701" authorId="2" shapeId="0" xr:uid="{52F9E6CF-4DA9-4575-BB9D-46235A4C5E4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PREMIER GLOBE EQUIPMENT TRADING L.L.C</t>
        </r>
      </text>
    </comment>
    <comment ref="K701" authorId="2" shapeId="0" xr:uid="{1F039659-B59D-4C94-AE00-602F162DBB5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InstruBiz</t>
        </r>
      </text>
    </comment>
    <comment ref="L701" authorId="2" shapeId="0" xr:uid="{A5A86702-F40D-417D-B2A5-1F26E2893FE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RADIANT FILTERS TRADING CO LLC</t>
        </r>
      </text>
    </comment>
    <comment ref="M701" authorId="2" shapeId="0" xr:uid="{EAEA918B-3218-4119-A85E-7698EA00B1B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Alkhalij Enterprises LLC</t>
        </r>
      </text>
    </comment>
    <comment ref="N701" authorId="2" shapeId="0" xr:uid="{1AD98477-5506-4FA0-92B4-CB26363E154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DALMA MOTORS</t>
        </r>
      </text>
    </comment>
    <comment ref="O701" authorId="2" shapeId="0" xr:uid="{984ECB78-8B7D-4B3A-BB40-FFD3CCA63CA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QUEEN FILTER TRADING LLC</t>
        </r>
      </text>
    </comment>
    <comment ref="I702" authorId="2" shapeId="0" xr:uid="{8A962B5C-5DEE-411F-9A8F-6AB6B1C4FFF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Mazrooei Security Systems LLC</t>
        </r>
      </text>
    </comment>
    <comment ref="J702" authorId="2" shapeId="0" xr:uid="{AF199199-9CB7-4A06-AE74-805B7659AA1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SAMCO GENERAL TRADING COMPANY LLC</t>
        </r>
      </text>
    </comment>
    <comment ref="K702" authorId="2" shapeId="0" xr:uid="{3CF4AB15-A44D-44DF-95AB-A01DD28486E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ELECTROMEC (L.L.C)</t>
        </r>
      </text>
    </comment>
    <comment ref="L702" authorId="2" shapeId="0" xr:uid="{DC49BDFE-ED67-437C-8B01-84D415B4A1C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ARABIAN FIBER OPTIC CABLE MANUFACTURING LLC</t>
        </r>
      </text>
    </comment>
    <comment ref="M702" authorId="2" shapeId="0" xr:uid="{4956E6FD-B65B-4C2A-ABAF-BA9F9BC7705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Leviton Middle East FZE</t>
        </r>
      </text>
    </comment>
    <comment ref="N702" authorId="2" shapeId="0" xr:uid="{8423B51A-1A6E-4CDC-BF00-7FC3A270D17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Security Supplies</t>
        </r>
      </text>
    </comment>
    <comment ref="I703" authorId="2" shapeId="0" xr:uid="{6559A0CA-ADB1-4699-AA67-10B5C2C42C0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Hi Force Precision Industrial Equipment Trading LLC</t>
        </r>
      </text>
    </comment>
    <comment ref="I706" authorId="2" shapeId="0" xr:uid="{A3B14357-CEC0-407D-B427-F0A8FD15B1A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Alwan Zamzam Trading Co. L.L.C</t>
        </r>
      </text>
    </comment>
    <comment ref="J706" authorId="2" shapeId="0" xr:uid="{13FBA1E5-C21F-4D87-8A0F-873F91C7C6F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HYDROPLAST PIPING SYSTEMS</t>
        </r>
      </text>
    </comment>
    <comment ref="I707" authorId="2" shapeId="0" xr:uid="{E17D5060-4FB8-467E-8502-58BFC26172D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SKJ Overseas FZCO</t>
        </r>
      </text>
    </comment>
    <comment ref="I708" authorId="2" shapeId="0" xr:uid="{43F3C688-CD9E-4960-9589-4987BF965B4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AUMA Middle East FZE</t>
        </r>
      </text>
    </comment>
    <comment ref="I710" authorId="2" shapeId="0" xr:uid="{545C6462-9EB0-456B-AAB9-9E8F8C7A36C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Anaum Measuring Equipment LLC</t>
        </r>
      </text>
    </comment>
    <comment ref="J710" authorId="2" shapeId="0" xr:uid="{3782F41F-99E7-442B-B0D1-278CD699A4D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CALTROLS MIDDLE EAST FZCO</t>
        </r>
      </text>
    </comment>
    <comment ref="I711" authorId="2" shapeId="0" xr:uid="{C972A413-60C3-45F7-A3ED-6F7C3B7EAD0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Rizq Al Halal Trading</t>
        </r>
      </text>
    </comment>
    <comment ref="J711" authorId="2" shapeId="0" xr:uid="{018CE264-B720-47B8-9688-A3C10748E18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SALEH ISHAQ TRADING CO LLC</t>
        </r>
      </text>
    </comment>
    <comment ref="K711" authorId="2" shapeId="0" xr:uid="{CA72CF32-B81A-47C3-9BD4-C0665486D71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Sakeena-Dubai</t>
        </r>
      </text>
    </comment>
    <comment ref="I712" authorId="2" shapeId="0" xr:uid="{2058E6DF-3043-4DE6-BDDC-FA85F54311A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Konecranes Middle East FZE</t>
        </r>
      </text>
    </comment>
    <comment ref="I715" authorId="2" shapeId="0" xr:uid="{8BEF2421-6C22-49CB-B67B-6D540FBA15E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717" authorId="2" shapeId="0" xr:uid="{AE685DC6-E8A2-44AC-896D-3936F880E82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AUMA Middle East FZE</t>
        </r>
      </text>
    </comment>
    <comment ref="I718" authorId="2" shapeId="0" xr:uid="{EB0CFAFF-B40E-45EA-AC03-50A7FC020BF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HELUKABEL Middle East DWC LLC</t>
        </r>
      </text>
    </comment>
    <comment ref="I728" authorId="2" shapeId="0" xr:uid="{D40EEB63-99BB-4863-AB45-A3FCBF2D1B5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I729" authorId="2" shapeId="0" xr:uid="{E84726DE-18CB-4A6D-8042-75A5964B74E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PIPEWORKTECH FZE</t>
        </r>
      </text>
    </comment>
    <comment ref="J729" authorId="2" shapeId="0" xr:uid="{92BADD83-9D3C-4932-8B8D-D6226516779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MASAOOD TRADING SUPPLIES &amp; SERVICES LLC</t>
        </r>
      </text>
    </comment>
    <comment ref="I730" authorId="2" shapeId="0" xr:uid="{57AFA744-0BBA-4C2F-B95C-CB6EA67FAC8F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Metal, UAE</t>
        </r>
      </text>
    </comment>
    <comment ref="J730" authorId="2" shapeId="0" xr:uid="{7588066F-7D49-4F00-A973-F048CF7184C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K730" authorId="2" shapeId="0" xr:uid="{AB8DC1CE-E685-47B0-A4FD-CBBE3C6AFEE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Triune General Trading LLC</t>
        </r>
      </text>
    </comment>
    <comment ref="L730" authorId="2" shapeId="0" xr:uid="{DF358759-8EB1-415B-99BF-F2EDA266ECE9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Fitting World Trading LLC</t>
        </r>
      </text>
    </comment>
    <comment ref="M730" authorId="2" shapeId="0" xr:uid="{8C1DE96D-3118-412F-8074-52DA2A81451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KAUKABAN ENTERPRISE LLC</t>
        </r>
      </text>
    </comment>
    <comment ref="I731" authorId="2" shapeId="0" xr:uid="{6D7C44DB-DAF6-4934-8547-D86273E0364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Supreme Mechanical &amp; Engineering Equipment Trading L.L.C</t>
        </r>
      </text>
    </comment>
    <comment ref="I732" authorId="2" shapeId="0" xr:uid="{948F3E16-67A5-4284-9764-CE1E24C92C8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Lenntech DMCC (Middle East)</t>
        </r>
      </text>
    </comment>
    <comment ref="J732" authorId="2" shapeId="0" xr:uid="{9D38C530-2CFB-4713-8934-8BF7928276B4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water transcrescent</t>
        </r>
      </text>
    </comment>
    <comment ref="I733" authorId="2" shapeId="0" xr:uid="{8A82F674-6AA6-4397-8EA9-8BC29ECE023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ENCORE POWERS GENERAL TRADING CO. L.L.C</t>
        </r>
      </text>
    </comment>
    <comment ref="J733" authorId="2" shapeId="0" xr:uid="{B9DB4AE6-1362-4E34-948A-6C74CB01362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Universe Middle East General Trading LLC</t>
        </r>
      </text>
    </comment>
    <comment ref="K733" authorId="2" shapeId="0" xr:uid="{7764B320-3855-4562-87F4-37DC9CAE2D0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Installations Middle East Co. L.L.C.</t>
        </r>
      </text>
    </comment>
    <comment ref="I734" authorId="2" shapeId="0" xr:uid="{F083AC51-464A-4166-8A10-DBCDF40B27A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DEHN Middle East FZE</t>
        </r>
      </text>
    </comment>
    <comment ref="I735" authorId="2" shapeId="0" xr:uid="{4758503D-70B3-4A8F-B3C6-C50197DC100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Hilti Emirates LLC</t>
        </r>
      </text>
    </comment>
    <comment ref="I737" authorId="2" shapeId="0" xr:uid="{EDBD3E76-9871-4684-863B-C988BC1808B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J737" authorId="2" shapeId="0" xr:uid="{FBE12193-E2B4-485A-AF80-0D29DB2A9DF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Precision Metal, UAE</t>
        </r>
      </text>
    </comment>
    <comment ref="K737" authorId="2" shapeId="0" xr:uid="{DEE6A28C-60DA-499F-A077-7DB8037EA5D0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SUNEL WALA BUILDING MATERIALS TRDG. CO. LLC</t>
        </r>
      </text>
    </comment>
    <comment ref="I738" authorId="2" shapeId="0" xr:uid="{210A6CB4-62DC-4E82-B151-FA04C4BE10E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Atlas Copco Services Middle East Company – SPC – Abu Dhabi</t>
        </r>
      </text>
    </comment>
    <comment ref="I739" authorId="2" shapeId="0" xr:uid="{31FA755B-FB7A-4338-98D5-E9E6A40AF41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Mohamed Abdulrahman Al-Bahar LLC</t>
        </r>
      </text>
    </comment>
    <comment ref="I741" authorId="2" shapeId="0" xr:uid="{85820F7D-D103-4CFB-BCAA-87F5C9E7CBFA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Shop AED</t>
        </r>
      </text>
    </comment>
    <comment ref="J741" authorId="2" shapeId="0" xr:uid="{FACB8E9D-35B6-4A2F-97D1-2F282F2E127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Gulf AED | Gulf Safety Supplies</t>
        </r>
      </text>
    </comment>
    <comment ref="K741" authorId="2" shapeId="0" xr:uid="{7112DBEA-6A7B-4435-A7C6-4A9163F0447C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AGI Supply</t>
        </r>
      </text>
    </comment>
    <comment ref="I742" authorId="2" shapeId="0" xr:uid="{4934FCA5-3E74-4D1E-AF89-C6D967255381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N.S.General Trading LLC</t>
        </r>
      </text>
    </comment>
    <comment ref="J742" authorId="2" shapeId="0" xr:uid="{861E8AEB-0DFD-45A3-9E58-80CE1DE1048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 AREEN LIFTING &amp; MOORING LLC</t>
        </r>
      </text>
    </comment>
    <comment ref="K742" authorId="2" shapeId="0" xr:uid="{E5BC9BD2-4165-4A72-830D-13B1C673F2D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 Hussain &amp; Bros LLC</t>
        </r>
      </text>
    </comment>
    <comment ref="I745" authorId="2" shapeId="0" xr:uid="{D5A9E308-A211-44C0-9B33-EE1A5F72F595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747" authorId="2" shapeId="0" xr:uid="{EB593BB5-F3A4-4E24-913C-CD132F5AB18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AllBrands Customer Service</t>
        </r>
      </text>
    </comment>
    <comment ref="I748" authorId="2" shapeId="0" xr:uid="{22560725-125B-424B-B8FB-4C4E7F84E13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Hansford Sensors</t>
        </r>
      </text>
    </comment>
    <comment ref="I749" authorId="2" shapeId="0" xr:uid="{59F740FC-7882-4272-8AF4-D9980C358F8D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Jijibla Trading LLC</t>
        </r>
      </text>
    </comment>
    <comment ref="I751" authorId="2" shapeId="0" xr:uid="{F0B25859-71B8-4446-941F-18830948A0C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 K B H Building Materials Trading LLC</t>
        </r>
      </text>
    </comment>
    <comment ref="I752" authorId="2" shapeId="0" xr:uid="{C5275995-58CC-481F-A753-E1F1D2D167CB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Ali Yaqoob Trading Co. L.L.C. </t>
        </r>
      </text>
    </comment>
    <comment ref="I753" authorId="3" shapeId="0" xr:uid="{5576F02E-117B-4369-BCE9-9925A6E52C5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Thor Middle East LLC. </t>
        </r>
      </text>
    </comment>
    <comment ref="I755" authorId="3" shapeId="0" xr:uid="{28102868-FD77-4356-8122-1CEF97AC1BC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Bagnodesign L.L.C</t>
        </r>
      </text>
    </comment>
    <comment ref="J755" authorId="3" shapeId="0" xr:uid="{81A5B76C-97C6-43DF-803A-C626FE7002C2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Techsvolt LLC</t>
        </r>
      </text>
    </comment>
    <comment ref="K755" authorId="3" shapeId="0" xr:uid="{1714FEF6-9C5C-4F83-BB0F-B2B883CAEEA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RUBAIYA ZUEAID BLDG MATERIALS CO. L.L.C.</t>
        </r>
      </text>
    </comment>
    <comment ref="I756" authorId="3" shapeId="0" xr:uid="{9CACE82B-FB03-428A-9508-B3CB446D978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AAB Tools</t>
        </r>
      </text>
    </comment>
    <comment ref="J756" authorId="3" shapeId="0" xr:uid="{CC8E4FE0-6263-4E04-9A40-EA315F619A0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Move It Trading LLC  </t>
        </r>
      </text>
    </comment>
    <comment ref="K756" authorId="3" shapeId="0" xr:uid="{08A7F90A-21C7-4373-9E42-51A5B5136DE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Karcher Arabia Cleaning Systems LLC</t>
        </r>
      </text>
    </comment>
    <comment ref="L756" authorId="3" shapeId="0" xr:uid="{776DDD5F-63BE-4DA7-8A2A-BA4C1FD58DE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Bahri Hardware and Safety Equipment LLC</t>
        </r>
      </text>
    </comment>
    <comment ref="M756" authorId="3" shapeId="0" xr:uid="{DD645683-4BC1-4B4A-8D61-68B1EE1EC5F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MibT Bikes</t>
        </r>
      </text>
    </comment>
    <comment ref="I761" authorId="3" shapeId="0" xr:uid="{5D3C6914-EDE4-45D2-91ED-77703DB7FEA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JAYBIRD MFG., INC.</t>
        </r>
      </text>
    </comment>
    <comment ref="I766" authorId="3" shapeId="0" xr:uid="{283D99CB-13E8-4A9D-A104-0A84E03CD64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Avicos Middle East Plastic Trading L.L.C.</t>
        </r>
      </text>
    </comment>
    <comment ref="J766" authorId="3" shapeId="0" xr:uid="{7E035C10-C1D4-481E-8D16-95B2F3DC2F7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RAK MIDDLE EAST TRADERS LLC</t>
        </r>
      </text>
    </comment>
    <comment ref="K766" authorId="3" shapeId="0" xr:uid="{72CFD3D7-C88D-4C41-B90A-90EA6608912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Bahri Hardware and Safety Equipment LLC
</t>
        </r>
      </text>
    </comment>
    <comment ref="L766" authorId="3" shapeId="0" xr:uid="{7D870881-F4A8-4D8E-9FDB-A91DFE0AE9F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Precision Metal Industries FZC</t>
        </r>
      </text>
    </comment>
    <comment ref="M766" authorId="3" shapeId="0" xr:uid="{DCA03F3B-7DCA-43BF-AD48-7ABEE0957F2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 E W QAMAR GENERAL TRADING LLC</t>
        </r>
      </text>
    </comment>
    <comment ref="N766" authorId="3" shapeId="0" xr:uid="{62CFF075-9276-4FA7-8F1E-E4858076A74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RUBAIYA ZUEAID BUILDING MATERIALS CO LLC</t>
        </r>
      </text>
    </comment>
    <comment ref="O766" authorId="3" shapeId="0" xr:uid="{88AB8B3A-165D-42B9-8ED3-7D81FAAD360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Oman Ocean Trading LLC</t>
        </r>
      </text>
    </comment>
    <comment ref="P766" authorId="3" shapeId="0" xr:uid="{46E99BAB-5DAE-4AB8-B350-6C6BD5D916B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Jazeera Bolts Industries LLC</t>
        </r>
      </text>
    </comment>
    <comment ref="Q766" authorId="3" shapeId="0" xr:uid="{27862DC4-3B6D-48E5-99F9-D75A349F7C2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767" authorId="3" shapeId="0" xr:uid="{5C1E7AB5-1AF4-4D13-A3B2-7883826F58B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DALEEL ELECT. SWITCH GEAR TR. LLC.</t>
        </r>
      </text>
    </comment>
    <comment ref="J767" authorId="3" shapeId="0" xr:uid="{0292F4D2-D56C-4240-91A4-29F03233DD2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Creative Automation LLC.</t>
        </r>
      </text>
    </comment>
    <comment ref="I771" authorId="3" shapeId="0" xr:uid="{360A940B-7BAE-44A4-9E0A-465220A8382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GHANDI ELECTRICAL &amp; AUTOMATION LLC</t>
        </r>
      </text>
    </comment>
    <comment ref="J771" authorId="3" shapeId="0" xr:uid="{63DFD362-E190-48A9-AE56-994CF5AFC5E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 Kempston Controls LLC</t>
        </r>
      </text>
    </comment>
    <comment ref="I773" authorId="3" shapeId="0" xr:uid="{6ABE73FB-7F0E-42E8-A8FD-512570295A7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Assent Trading Co. LLC</t>
        </r>
      </text>
    </comment>
    <comment ref="J773" authorId="3" shapeId="0" xr:uid="{19AA3BF6-389F-4429-9E22-F6952DF9B79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GHANDI ELECTRICAL &amp; AUTOMATION LLC</t>
        </r>
      </text>
    </comment>
    <comment ref="K773" authorId="3" shapeId="0" xr:uid="{2094660B-299F-4A3A-9E23-677AD5278EE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DALEEL ELECT. SWITCH GEAR TR. LLC.</t>
        </r>
      </text>
    </comment>
    <comment ref="L773" authorId="3" shapeId="0" xr:uid="{5D5EA179-746F-4BA3-8E74-5879EF72BFC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774" authorId="3" shapeId="0" xr:uid="{9B226F33-F486-40C5-B616-7951BEB03A0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J774" authorId="3" shapeId="0" xr:uid="{BC0CA2C8-78FF-4881-AEB3-5583FF83A89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LOVATO ELECTRIC ME FZE</t>
        </r>
      </text>
    </comment>
    <comment ref="K774" authorId="3" shapeId="0" xr:uid="{B4AA04F5-A2E8-4468-978C-0D9BF2011A7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TME
</t>
        </r>
      </text>
    </comment>
    <comment ref="I775" authorId="3" shapeId="0" xr:uid="{2460F54F-E2F0-4991-80D5-A00A23FAAA9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Albert Maier GmbH</t>
        </r>
      </text>
    </comment>
    <comment ref="I776" authorId="3" shapeId="0" xr:uid="{9A6B0FF9-7782-4804-99F1-DE3692E969C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Hydrofit Trading L.L.C</t>
        </r>
      </text>
    </comment>
    <comment ref="J776" authorId="3" shapeId="0" xr:uid="{E7BC1C5F-5387-4406-BD40-FD5C4C0B676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ÖZARAR KALDIRMA MAK.SAN.VE TİC.A.Ş.</t>
        </r>
      </text>
    </comment>
    <comment ref="K776" authorId="3" shapeId="0" xr:uid="{E15F7011-5B04-4686-9291-1B2179B201D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ARIIZ Int'L Gen Trdg LLC</t>
        </r>
      </text>
    </comment>
    <comment ref="I778" authorId="3" shapeId="0" xr:uid="{5FEDDB46-15D2-4436-98A0-10B1AD6A383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New World Horizon
</t>
        </r>
      </text>
    </comment>
    <comment ref="I779" authorId="3" shapeId="0" xr:uid="{C25E90D7-A1E9-4153-ACF7-B6B199D7461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Techsvolt LLC</t>
        </r>
      </text>
    </comment>
    <comment ref="J779" authorId="3" shapeId="0" xr:uid="{333AC394-0D22-4301-931A-0CA0F4B6E8A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OPAR TR L.L.C</t>
        </r>
      </text>
    </comment>
    <comment ref="I781" authorId="3" shapeId="0" xr:uid="{005A8E59-3F14-4894-B42E-751893B2491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Anixter Middle East FZE</t>
        </r>
      </text>
    </comment>
    <comment ref="I782" authorId="3" shapeId="0" xr:uid="{B819EF97-2A9C-4703-8F56-316CBB2701E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Fitting World Trading LLC</t>
        </r>
      </text>
    </comment>
    <comment ref="I784" authorId="3" shapeId="0" xr:uid="{19254D7A-3392-49E1-8C30-2A275E8F9C9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ULO Systems LLC</t>
        </r>
      </text>
    </comment>
    <comment ref="I786" authorId="3" shapeId="0" xr:uid="{4CF86CEF-7738-45E4-97FA-13923F583D9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Bearings World Trading LLC</t>
        </r>
      </text>
    </comment>
    <comment ref="I787" authorId="3" shapeId="0" xr:uid="{2A1E604F-F10D-4DE6-9066-F38DFD39450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MONILEK OILFIELD ENTERPRISES</t>
        </r>
      </text>
    </comment>
    <comment ref="I788" authorId="3" shapeId="0" xr:uid="{336A237E-25B3-4308-91D2-F7C15C8DCB4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Bearings World Trading LLC</t>
        </r>
      </text>
    </comment>
    <comment ref="I789" authorId="3" shapeId="0" xr:uid="{9B027B02-123F-439A-98C8-7113CA7496E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Gulf Safety Equips Trading L.L.C</t>
        </r>
      </text>
    </comment>
    <comment ref="I790" authorId="3" shapeId="0" xr:uid="{6136C111-A2C0-4590-8022-3FEE2CBB1D8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J790" authorId="3" shapeId="0" xr:uid="{C28F1CFE-97D6-45E9-BC53-7C38265B677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Phoe Electricals Trading LLC</t>
        </r>
      </text>
    </comment>
    <comment ref="I791" authorId="3" shapeId="0" xr:uid="{601CE4E1-9129-42A8-B98E-31FF09FF5452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Hawayiy Factories Machines &amp; Spare Parts Trading</t>
        </r>
      </text>
    </comment>
    <comment ref="J791" authorId="3" shapeId="0" xr:uid="{B14D7C37-B4CC-4A3D-847F-DEB0D16AD57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TECHNOS MULTILINE LLC</t>
        </r>
      </text>
    </comment>
    <comment ref="I792" authorId="3" shapeId="0" xr:uid="{F69A60D0-EB51-4E77-ACA0-35E013736D02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Fischer Fixing LLC- Dubai</t>
        </r>
      </text>
    </comment>
    <comment ref="I794" authorId="2" shapeId="0" xr:uid="{201BFC73-7243-4214-B6BE-0EB96B731007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OILMARK INTERNATIONAL</t>
        </r>
      </text>
    </comment>
    <comment ref="I795" authorId="2" shapeId="0" xr:uid="{B18E0D5F-730B-4001-8569-50C0F85F0E13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Apex Gulf Trading LLC Dubai</t>
        </r>
      </text>
    </comment>
    <comment ref="J795" authorId="2" shapeId="0" xr:uid="{E386A763-DC36-4259-A415-E8E1C44BF1B6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AAB Tools</t>
        </r>
      </text>
    </comment>
    <comment ref="K795" authorId="2" shapeId="0" xr:uid="{CB4748EA-327B-448E-AB9F-3233CCFF6B1E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SELTEC FZC</t>
        </r>
      </text>
    </comment>
    <comment ref="L795" authorId="2" shapeId="0" xr:uid="{A68F9D13-A4EF-42BB-8208-59280ED0C358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MA Jinnah Trading LLC</t>
        </r>
      </text>
    </comment>
    <comment ref="M795" authorId="2" shapeId="0" xr:uid="{92625D47-C2E0-4A20-BFEB-7E032A4D93D2}">
      <text>
        <r>
          <rPr>
            <b/>
            <sz val="9"/>
            <color indexed="81"/>
            <rFont val="Tahoma"/>
            <family val="2"/>
          </rPr>
          <t>Shweta:</t>
        </r>
        <r>
          <rPr>
            <sz val="9"/>
            <color indexed="81"/>
            <rFont val="Tahoma"/>
            <family val="2"/>
          </rPr>
          <t xml:space="preserve">
Favia International
</t>
        </r>
      </text>
    </comment>
    <comment ref="N795" authorId="3" shapeId="0" xr:uid="{B5324F6B-288D-4040-A7F3-98E398187DC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Wilhelmsen Ships Service (WSS)</t>
        </r>
      </text>
    </comment>
    <comment ref="I796" authorId="3" shapeId="0" xr:uid="{DF3F4663-F715-4D54-8FE9-A8A58891155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Hitachi Energy </t>
        </r>
      </text>
    </comment>
    <comment ref="I798" authorId="3" shapeId="0" xr:uid="{B321590A-13FD-4FBA-B495-8968ACD0C49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I799" authorId="3" shapeId="0" xr:uid="{15631CE2-AA03-4859-B872-8C7576326DB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LOKHANDWALA TRADING L.L.C.</t>
        </r>
      </text>
    </comment>
    <comment ref="I800" authorId="3" shapeId="0" xr:uid="{660C0855-AAF8-41CF-A1C1-F0A316744D4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Robel Trading Co LLC </t>
        </r>
      </text>
    </comment>
    <comment ref="J800" authorId="3" shapeId="0" xr:uid="{8C71808B-552B-47A8-BD69-E35F7EEBA46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Bearings World Trading LLC</t>
        </r>
      </text>
    </comment>
    <comment ref="I802" authorId="3" shapeId="0" xr:uid="{4519F055-475E-4C6B-BB7B-54326A34B18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Naser Al Sayer &amp; Co. LLC</t>
        </r>
      </text>
    </comment>
    <comment ref="I803" authorId="3" shapeId="0" xr:uid="{A08571EA-D98E-4342-8A19-C002A51364B2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Belman A/S</t>
        </r>
      </text>
    </comment>
    <comment ref="I804" authorId="3" shapeId="0" xr:uid="{3600735A-700C-4FE8-8B7F-7A5B5EE93C7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Ghandi Electrical &amp; Automation LLC</t>
        </r>
      </text>
    </comment>
    <comment ref="J804" authorId="3" shapeId="0" xr:uid="{A6BEB0C2-70C7-4DFC-9E40-0F2355993E0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805" authorId="3" shapeId="0" xr:uid="{6CE0CDA7-48A8-4B42-979D-87248ED5F16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OILMARK INTERNATIONAL</t>
        </r>
      </text>
    </comment>
    <comment ref="J805" authorId="3" shapeId="0" xr:uid="{D0761DDB-0FA0-40A7-BEAC-9B3420E5A7F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K805" authorId="3" shapeId="0" xr:uid="{9898EB6B-EC4F-4D0C-8B47-0F6090236D8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Akon Automation Industrial Plant Equipment and Spare Parts Trading Co. LLC.</t>
        </r>
      </text>
    </comment>
    <comment ref="L805" authorId="3" shapeId="0" xr:uid="{47EC3D16-743A-4FD2-BA8F-58E661B7AB2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Gulf Instrument | SafeMed Supplies</t>
        </r>
      </text>
    </comment>
    <comment ref="I806" authorId="3" shapeId="0" xr:uid="{DF917EA0-66B5-4C38-B454-C7B46876D5B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AUMA Middle East FZE</t>
        </r>
      </text>
    </comment>
    <comment ref="I814" authorId="3" shapeId="0" xr:uid="{11CF3727-4683-403D-9C9D-6F7E98EA91D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M.D.F. Motors Srl</t>
        </r>
      </text>
    </comment>
    <comment ref="I815" authorId="3" shapeId="0" xr:uid="{D70D9F36-F175-4DC7-A1AB-BB988648A61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RP Canadian Trading LLC</t>
        </r>
      </text>
    </comment>
    <comment ref="I816" authorId="3" shapeId="0" xr:uid="{B091E3CD-69D0-48B9-ADA8-2A79F140D8B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SWAN Analytische Instrumente AG</t>
        </r>
      </text>
    </comment>
    <comment ref="I820" authorId="3" shapeId="0" xr:uid="{43EB9AC6-8037-4C75-AC35-24972FCAF3A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AUMA Middle East FZE</t>
        </r>
      </text>
    </comment>
    <comment ref="I821" authorId="3" shapeId="0" xr:uid="{B899464E-C928-404F-A860-866F6909531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SAHARA AIR-CONDITIONING &amp; REFRIGERATION TRADING LLC</t>
        </r>
      </text>
    </comment>
    <comment ref="I822" authorId="3" shapeId="0" xr:uid="{67D3501A-5416-42BA-AEB6-148B91D6A9D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RAMADHA CENTER INDUSTRIES FZ LLC</t>
        </r>
      </text>
    </comment>
    <comment ref="I824" authorId="3" shapeId="0" xr:uid="{581FA473-D92C-4374-B397-F8AB1EAA44D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Ali Yaqoob Trading Co. L.L.C.</t>
        </r>
      </text>
    </comment>
    <comment ref="I827" authorId="3" shapeId="0" xr:uid="{53699105-1448-4FDA-926F-CDF474F57DC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Ashcroft Middle East FZE</t>
        </r>
      </text>
    </comment>
    <comment ref="J827" authorId="3" shapeId="0" xr:uid="{8B2210E2-43AB-41D7-B37E-ED89935307F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Prestige Metalloys LLC</t>
        </r>
      </text>
    </comment>
    <comment ref="I828" authorId="3" shapeId="0" xr:uid="{BBA53025-7199-4F76-8C25-D124549E4A0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Mabrook Hardware Trading LLC</t>
        </r>
      </text>
    </comment>
    <comment ref="J828" authorId="3" shapeId="0" xr:uid="{E614773F-E167-4373-AE2A-C2D698CD778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PIPETEC Solutions Manufacturing LLC</t>
        </r>
      </text>
    </comment>
    <comment ref="K828" authorId="3" shapeId="0" xr:uid="{392D8F53-FFBF-4CFE-B631-78515C2C2C2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SPIRA POWER GASKET MANUFACTURING (L.L.C.)</t>
        </r>
      </text>
    </comment>
    <comment ref="I829" authorId="3" shapeId="0" xr:uid="{2CA2CD28-7AD4-4AF4-9CD6-CB513F58D33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YALLA TYRE</t>
        </r>
      </text>
    </comment>
    <comment ref="J829" authorId="3" shapeId="0" xr:uid="{85232B93-A478-4940-9B00-98FEA66ED98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ABRAR TYRES TRADING</t>
        </r>
      </text>
    </comment>
    <comment ref="I830" authorId="3" shapeId="0" xr:uid="{400709DF-6DEB-47B9-9230-FF652EEF64B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834" authorId="3" shapeId="0" xr:uid="{98DF7F2B-AC60-4AC5-8A5F-C751E5887E2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J834" authorId="3" shapeId="0" xr:uid="{07C67ED9-F349-4D4B-8F32-357551C8047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Akapolco — International LLC</t>
        </r>
      </text>
    </comment>
    <comment ref="I836" authorId="3" shapeId="0" xr:uid="{1971DBA4-AE56-481A-8E9D-2F073C56692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Saavi – Marine Equipment Trading LLC</t>
        </r>
      </text>
    </comment>
    <comment ref="J836" authorId="3" shapeId="0" xr:uid="{6972AD68-BC95-462F-979F-16EEF711FF8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DJK Marine Trading L.L.C</t>
        </r>
      </text>
    </comment>
    <comment ref="K836" authorId="3" shapeId="0" xr:uid="{DA05AA75-814E-4857-936F-C12E165AC38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FIRESUPPLIES</t>
        </r>
      </text>
    </comment>
    <comment ref="L836" authorId="3" shapeId="0" xr:uid="{E603C9F5-1E11-4252-8362-4B4ACBC57BA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Sensortech UAE</t>
        </r>
      </text>
    </comment>
    <comment ref="I837" authorId="3" shapeId="0" xr:uid="{8B3C51C0-95B0-4F41-B69C-6F1A2B7A547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Roshako Technical Trade</t>
        </r>
      </text>
    </comment>
    <comment ref="I838" authorId="3" shapeId="0" xr:uid="{7A52E3E9-73A0-4587-8339-CA2E70194B0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Gulf Oil &amp; Gas International FZE</t>
        </r>
      </text>
    </comment>
    <comment ref="J838" authorId="3" shapeId="0" xr:uid="{47F22C82-955A-4014-B429-7298E404CCD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CalCon Measuring &amp; Control Systems Trading LLC</t>
        </r>
      </text>
    </comment>
    <comment ref="K838" authorId="3" shapeId="0" xr:uid="{98C6F226-6754-47A9-8C57-B634AD70624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ABDULLA BIN HAMID TRADING LLC</t>
        </r>
      </text>
    </comment>
    <comment ref="I841" authorId="3" shapeId="0" xr:uid="{ADE5CA72-49F4-42C7-A397-1FE96C041E8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Blue Rhine General Trading LLC</t>
        </r>
      </text>
    </comment>
    <comment ref="J841" authorId="3" shapeId="0" xr:uid="{A5BB3CF2-AB30-4669-9943-E550A71CA68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Alrais Enterprises Group</t>
        </r>
      </text>
    </comment>
    <comment ref="K841" authorId="3" shapeId="0" xr:uid="{AFC09A97-827C-4EE6-9337-02C9E40ADD0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Roma Enterprises</t>
        </r>
      </text>
    </comment>
    <comment ref="L841" authorId="3" shapeId="0" xr:uid="{AC1185F2-F2BA-475D-9402-B0B041BC573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Perfect International General Trading FZE</t>
        </r>
      </text>
    </comment>
    <comment ref="M841" authorId="3" shapeId="0" xr:uid="{BF389A4F-2C94-402E-B705-4BC0BC4B778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Ali Yaqoob Trading Co. L.L.C.</t>
        </r>
      </text>
    </comment>
    <comment ref="N841" authorId="3" shapeId="0" xr:uid="{D3FA3B4A-3D25-4885-8E3E-841C30B7E64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Sabin Plastic Industries</t>
        </r>
      </text>
    </comment>
    <comment ref="O841" authorId="3" shapeId="0" xr:uid="{B66E5806-3831-45E3-B69E-A3EE7F75EAD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Mustafa Ashkar Trading Co LLC (MATC)</t>
        </r>
      </text>
    </comment>
    <comment ref="P841" authorId="3" shapeId="0" xr:uid="{30DD9DA1-0EF7-4ED0-97E9-68DE4B0945F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AFNCO FZC LLC</t>
        </r>
      </text>
    </comment>
    <comment ref="I842" authorId="3" shapeId="0" xr:uid="{7F980B63-CE46-4DCA-BB76-638CDDF03D7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843" authorId="3" shapeId="0" xr:uid="{2EC12BA4-09E6-4ED5-A04F-D1FCFD3199C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Canalta Controls Ltd</t>
        </r>
      </text>
    </comment>
    <comment ref="I846" authorId="3" shapeId="0" xr:uid="{9542D217-62CD-46C0-A963-88F386D3356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JLL Electrical Sdn Bhd</t>
        </r>
      </text>
    </comment>
    <comment ref="J846" authorId="3" shapeId="0" xr:uid="{37BC7736-DA61-4FD4-8A70-1798DD19A03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Thomann UAE</t>
        </r>
      </text>
    </comment>
    <comment ref="I847" authorId="3" shapeId="0" xr:uid="{0A561B55-82AC-4C33-A2CE-D8C5C1C8A18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Safe Line Mart</t>
        </r>
      </text>
    </comment>
    <comment ref="I854" authorId="3" shapeId="0" xr:uid="{2B3F8B6C-51D2-4756-A2AD-EBA784F8D15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Al-Futtaim Trade Point</t>
        </r>
      </text>
    </comment>
    <comment ref="I855" authorId="3" shapeId="0" xr:uid="{450371FD-65A5-47D8-B046-B455A4A4905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CENTRAL AC TRADING LLC - Dubai</t>
        </r>
      </text>
    </comment>
    <comment ref="J855" authorId="3" shapeId="0" xr:uid="{3F945E91-B9AE-40BE-9070-2BBFA511EAB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Benair Trading Co. LLC.</t>
        </r>
      </text>
    </comment>
    <comment ref="I856" authorId="3" shapeId="0" xr:uid="{73296811-419E-4E0C-A7B0-A2CA602BEF8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TULIP TRADING LLC</t>
        </r>
      </text>
    </comment>
    <comment ref="J856" authorId="3" shapeId="0" xr:uid="{55597605-169A-44C5-8C3B-1EB6EBF3311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FIRESUPPLIES</t>
        </r>
      </text>
    </comment>
    <comment ref="I857" authorId="3" shapeId="0" xr:uid="{5687AB67-3D8C-4862-B72E-B5455DDA46D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Kun Steel Trd</t>
        </r>
      </text>
    </comment>
    <comment ref="I858" authorId="3" shapeId="0" xr:uid="{195A5D37-A680-4F3A-BEC5-5E182CE95AD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Entellus Technical Equipments FZC</t>
        </r>
      </text>
    </comment>
    <comment ref="I859" authorId="3" shapeId="0" xr:uid="{BE38EE5E-AE41-40FE-B6BB-01C3DE34416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FlexEJ Limited</t>
        </r>
      </text>
    </comment>
    <comment ref="I860" authorId="3" shapeId="0" xr:uid="{65E4EE51-470C-4FA7-BBB6-0872287679B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FIRESUPPLIES</t>
        </r>
      </text>
    </comment>
    <comment ref="I862" authorId="3" shapeId="0" xr:uid="{7908BECB-3D5F-4D1B-9DD2-C1FF0E4F8BE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Max Prestige General Trading LLC.</t>
        </r>
      </text>
    </comment>
    <comment ref="J862" authorId="3" shapeId="0" xr:uid="{45B55A44-E3DA-42A3-9AD5-21A9FB299BB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CalCon Measuring &amp; Control Systems Trading LLC</t>
        </r>
      </text>
    </comment>
    <comment ref="K862" authorId="3" shapeId="0" xr:uid="{DB699DA4-343C-4BF7-8D38-718D53E1E9B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Electronic Control Ind. Services L.L.C.</t>
        </r>
      </text>
    </comment>
    <comment ref="I864" authorId="3" shapeId="0" xr:uid="{8D4769C6-8032-4D71-8C7D-1ADD58B9992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RAPIDCOOL TRADING CO. LLC</t>
        </r>
      </text>
    </comment>
    <comment ref="I867" authorId="3" shapeId="0" xr:uid="{8F757D65-F4F3-4B28-B917-38CE230220A2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 E W QAMAR GENERAL TRADING LLC</t>
        </r>
      </text>
    </comment>
    <comment ref="J867" authorId="3" shapeId="0" xr:uid="{4D5249DF-1306-4BDE-AE76-3D5159E11A3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FIRESUPPLIES</t>
        </r>
      </text>
    </comment>
    <comment ref="K867" authorId="3" shapeId="0" xr:uid="{DD6D78B6-3C4F-4DD2-AE14-A4F87D1E92C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 Sonasa Trading Co. LLC</t>
        </r>
      </text>
    </comment>
    <comment ref="I869" authorId="3" shapeId="0" xr:uid="{CB76C1C7-84C1-4FF2-B970-8E5A0C50675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Apex Gulf Trading LLC</t>
        </r>
      </text>
    </comment>
    <comment ref="J869" authorId="3" shapeId="0" xr:uid="{951B1C57-ABED-4C65-947C-F07AC856A28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Nisba Trading L.L.C.</t>
        </r>
      </text>
    </comment>
    <comment ref="K869" authorId="3" shapeId="0" xr:uid="{6569E9F6-BAFC-472D-B434-37313E2BD4A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OlieOnline</t>
        </r>
      </text>
    </comment>
    <comment ref="I870" authorId="3" shapeId="0" xr:uid="{B4F20B28-F777-447E-A90D-54A1535C3C4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Bearings World SHJ.</t>
        </r>
      </text>
    </comment>
    <comment ref="J870" authorId="3" shapeId="0" xr:uid="{094392BA-67A0-484E-B6CD-826EA4CB2BE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 ZUHDI TRADING LLC</t>
        </r>
      </text>
    </comment>
    <comment ref="K870" authorId="3" shapeId="0" xr:uid="{E90B695A-8CAF-4860-9BB4-620D1C1D155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AKAPOLCO INTERNATIONAL LLC.</t>
        </r>
      </text>
    </comment>
    <comment ref="I872" authorId="3" shapeId="0" xr:uid="{F49918C4-AC13-4456-BDF0-55DC87238AC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SEA WONDERS</t>
        </r>
      </text>
    </comment>
    <comment ref="I873" authorId="3" shapeId="0" xr:uid="{78718981-1F8F-4306-B79C-BA419300061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 Al Sanani</t>
        </r>
      </text>
    </comment>
    <comment ref="J873" authorId="3" shapeId="0" xr:uid="{8D9B69F3-4C0F-49EB-A90A-FAD8DABD11A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Haris Al Afaq LLC</t>
        </r>
      </text>
    </comment>
    <comment ref="I874" authorId="3" shapeId="0" xr:uid="{3135EC0B-3283-4817-A295-44311E3D188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BATTERY MASTER UAE</t>
        </r>
      </text>
    </comment>
    <comment ref="J874" authorId="3" shapeId="0" xr:uid="{C7F4FA8B-A64F-4058-A289-732CFF643A7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VT POWER – VT BATTERIES</t>
        </r>
      </text>
    </comment>
    <comment ref="K874" authorId="3" shapeId="0" xr:uid="{C6943E28-0590-4652-85C5-5AF18849CE5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Macher International General Trading LLC</t>
        </r>
      </text>
    </comment>
    <comment ref="I876" authorId="3" shapeId="0" xr:uid="{F29FEA42-CE9F-49B2-A67F-6E487292C50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POWERGAS Oil Field Equip. Tr. LLC</t>
        </r>
      </text>
    </comment>
    <comment ref="I878" authorId="3" shapeId="0" xr:uid="{1AC025D3-FF78-43C0-8876-74BEE81693A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JIEFENG E&amp;E CO., LTD.</t>
        </r>
      </text>
    </comment>
    <comment ref="J878" authorId="3" shapeId="0" xr:uid="{3A48D92D-363A-4A35-BB1E-A5EA0D88779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Zhejiang LEFO0 Sensing Technology Co., Ltd.</t>
        </r>
      </text>
    </comment>
    <comment ref="I879" authorId="3" shapeId="0" xr:uid="{C536C850-8C36-47F9-82B4-8EF1DEE7314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alkhalij enterprises LLC</t>
        </r>
      </text>
    </comment>
    <comment ref="J879" authorId="3" shapeId="0" xr:uid="{6E78C98E-069E-40AD-B0FF-D243EE862BF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SAMIR ODEH &amp; SONS TRADING L.L.C</t>
        </r>
      </text>
    </comment>
    <comment ref="K879" authorId="3" shapeId="0" xr:uid="{20D46B13-610F-4A7E-9CF3-4619EF070BE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TRANSMAX EQUIPMENT TRADING LLC</t>
        </r>
      </text>
    </comment>
    <comment ref="I882" authorId="3" shapeId="0" xr:uid="{A2AFF13C-30C0-48E3-932A-2E230CADD67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MONILEK OILFIELD ENTERPRISES</t>
        </r>
      </text>
    </comment>
    <comment ref="J882" authorId="3" shapeId="0" xr:uid="{1A8E096D-0DFA-4EF4-8C61-1350B2D1E4F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Electric Way Group HQ</t>
        </r>
      </text>
    </comment>
    <comment ref="I883" authorId="3" shapeId="0" xr:uid="{983E935E-ECE1-4823-81FE-296B5109F13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Nexa Electricals Trading LLC</t>
        </r>
      </text>
    </comment>
    <comment ref="J883" authorId="3" shapeId="0" xr:uid="{27311A18-574F-426D-8C39-80E813431D8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K883" authorId="3" shapeId="0" xr:uid="{6B8DCCC1-E061-428E-A704-6054454E3BA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Kempston Controls LLC</t>
        </r>
      </text>
    </comment>
    <comment ref="I888" authorId="3" shapeId="0" xr:uid="{2BFAAD71-E964-4912-93E7-850496B53D3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Precision Metal Industries FZC.</t>
        </r>
      </text>
    </comment>
    <comment ref="I890" authorId="3" shapeId="0" xr:uid="{4A3C22C1-0CB9-4590-9C54-4848E2E9C257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Unimix Block Industry LLC</t>
        </r>
      </text>
    </comment>
    <comment ref="J890" authorId="3" shapeId="0" xr:uid="{B744C1C8-16DC-495D-B152-6CF4F1C31E1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Transgulf Cement Products LLC</t>
        </r>
      </text>
    </comment>
    <comment ref="I893" authorId="3" shapeId="0" xr:uid="{0B0B1577-671E-4B14-B92C-C921E499BAF4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Fritz Barthel Armaturen GmbH &amp; Co. KG</t>
        </r>
      </text>
    </comment>
    <comment ref="J893" authorId="3" shapeId="0" xr:uid="{25567D67-C6D2-41CB-9F65-140A5CE10F3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Multiline Technical Co.</t>
        </r>
      </text>
    </comment>
    <comment ref="K893" authorId="3" shapeId="0" xr:uid="{83C97758-8ABC-47E5-8C4A-39B28BE6610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PETRO MIDDLE EAST L.L.C – S.P.C</t>
        </r>
      </text>
    </comment>
    <comment ref="I894" authorId="3" shapeId="0" xr:uid="{571C5CA4-E9FB-4393-93DE-E187E52E057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Trans Tech Trading LLC</t>
        </r>
      </text>
    </comment>
    <comment ref="J894" authorId="3" shapeId="0" xr:uid="{626BC453-688A-4200-8FF0-8D27F14EC60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Synthetic Rubber Sdn. Bhd.</t>
        </r>
      </text>
    </comment>
    <comment ref="I895" authorId="3" shapeId="0" xr:uid="{B97172C1-6781-41C8-B315-666732EF779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National Plant Sales</t>
        </r>
      </text>
    </comment>
    <comment ref="I896" authorId="3" shapeId="0" xr:uid="{817DCC6F-5654-4848-9FE4-77CF104DE16E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Brothers Cool Trading LLC</t>
        </r>
      </text>
    </comment>
    <comment ref="J896" authorId="3" shapeId="0" xr:uid="{1740F035-4F69-4AE7-9BC4-9AC4FC4B12D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Streamline Airconditioning Trading LLC</t>
        </r>
      </text>
    </comment>
    <comment ref="K896" authorId="3" shapeId="0" xr:uid="{10E785AB-F5CE-47D9-9C8C-C5DAE986FAF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SAHARA AIR-CONDITIONING &amp; REFRIGERATION TRADING LLC</t>
        </r>
      </text>
    </comment>
    <comment ref="L896" authorId="3" shapeId="0" xr:uid="{82F9D011-2D0B-4A81-8FAB-82D58889FF7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Castle Refrigeration Equipment Trading LLC
</t>
        </r>
      </text>
    </comment>
    <comment ref="M896" authorId="3" shapeId="0" xr:uid="{587AD13B-E316-4A02-B1F0-FD54C7F62FC0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Uranus air-conditioning and refrigeration trading</t>
        </r>
      </text>
    </comment>
    <comment ref="N896" authorId="3" shapeId="0" xr:uid="{5B8A0525-03FE-47F5-B043-55FC6D9B98D3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AL KASSAR AC SPARE PARTS</t>
        </r>
      </text>
    </comment>
    <comment ref="I897" authorId="3" shapeId="0" xr:uid="{8F85774D-B5EA-44B9-A8BE-5DB8A76DB01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Mezon Stainless Steel FZCO</t>
        </r>
      </text>
    </comment>
    <comment ref="J897" authorId="3" shapeId="0" xr:uid="{26CD97F6-AC9D-49F0-8797-64CA7F195DC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DEEP SEA PIPES AND FITTINGS TRADING LLC.</t>
        </r>
      </text>
    </comment>
    <comment ref="K897" authorId="3" shapeId="0" xr:uid="{742ECE26-E4F9-448B-8139-3EC33A5EBDE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Fitting World Trading LLC</t>
        </r>
      </text>
    </comment>
    <comment ref="L897" authorId="3" shapeId="0" xr:uid="{2D83B512-95AF-4878-81EB-EA12B44194AD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FITMOS Pipes &amp; Fittings Trading LLC</t>
        </r>
      </text>
    </comment>
    <comment ref="I898" authorId="3" shapeId="0" xr:uid="{BCB552F8-060E-4336-9AF1-78AF6BB01229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SAHARA AIR-CONDITIONING &amp; REFRIGERATION TRADING LLC</t>
        </r>
      </text>
    </comment>
    <comment ref="J898" authorId="3" shapeId="0" xr:uid="{3D7219EF-5BDE-4696-8495-3A2CB8F2C2C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K898" authorId="3" shapeId="0" xr:uid="{A6FB6DF7-3E20-42D7-B1E1-F57A6B60706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900" authorId="3" shapeId="0" xr:uid="{B4B31A39-5EA2-4C38-8387-2F56C0BB426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NASER AL SAYER &amp; CO.L.L.C</t>
        </r>
      </text>
    </comment>
    <comment ref="I901" authorId="3" shapeId="0" xr:uid="{EEE982C9-D290-4845-BC95-189567E563D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Gas Equipment Company Limited L.L.C.</t>
        </r>
      </text>
    </comment>
    <comment ref="I902" authorId="3" shapeId="0" xr:uid="{035609D9-047E-4783-B90F-0C71D77F0D3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HOTPACK FZCO DUBAI BRANCH</t>
        </r>
      </text>
    </comment>
    <comment ref="I905" authorId="3" shapeId="0" xr:uid="{0AA51AEA-FED6-49AB-A39E-7FC961556636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FLOWTECH LLC</t>
        </r>
      </text>
    </comment>
    <comment ref="I906" authorId="3" shapeId="0" xr:uid="{E549F8AB-FF40-415E-942D-C3C0CF9240B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Automate Entrance &amp; Door Systems - Sole Proprietorship LLC</t>
        </r>
      </text>
    </comment>
    <comment ref="J906" authorId="3" shapeId="0" xr:uid="{6747D649-36B2-4A15-9082-2E9DCF17443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Arabian Gulf Door Establishment</t>
        </r>
      </text>
    </comment>
    <comment ref="I907" authorId="3" shapeId="0" xr:uid="{78056957-47E4-4EAA-BC87-A5B892C5C06A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ABEER GENERAL TRADING LLC</t>
        </r>
      </text>
    </comment>
    <comment ref="J907" authorId="3" shapeId="0" xr:uid="{07849D1B-D241-487E-84C3-414314F0180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Installations Middle East Co. L.L.C. - Dubai</t>
        </r>
      </text>
    </comment>
    <comment ref="I908" authorId="3" shapeId="0" xr:uid="{B982D2E3-1320-4B8F-8A42-14A67CA923C5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Fervent Supplies Electric Trading Ltd.</t>
        </r>
      </text>
    </comment>
    <comment ref="I909" authorId="3" shapeId="0" xr:uid="{01000E5D-20A6-4D56-B207-68C1235B867F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Phoe Electricals Trading LLC</t>
        </r>
      </text>
    </comment>
    <comment ref="I912" authorId="3" shapeId="0" xr:uid="{923B6E34-F085-4E23-9330-1D55CE59E588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AKAPOLCO
INTERNATIONAL LLC</t>
        </r>
      </text>
    </comment>
    <comment ref="J912" authorId="3" shapeId="0" xr:uid="{26E48849-26D1-4713-8184-B03F866B223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Robel Trading Co LLC</t>
        </r>
      </text>
    </comment>
    <comment ref="I915" authorId="3" shapeId="0" xr:uid="{BB26C043-69CA-49C2-A926-3D4437956EDB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SPIRA POWER GASKET MANUFACTURING LLC</t>
        </r>
      </text>
    </comment>
    <comment ref="I918" authorId="3" shapeId="0" xr:uid="{3FC1D35E-0E5D-4074-9E54-0865AA13491C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Laboratory Scientific Supplies F.Z.C</t>
        </r>
      </text>
    </comment>
    <comment ref="I919" authorId="3" shapeId="0" xr:uid="{119B4BF2-77FB-4442-8F41-DC7ED787E1C8}">
      <text>
        <r>
          <rPr>
            <b/>
            <sz val="9"/>
            <color indexed="81"/>
            <rFont val="Tahoma"/>
            <family val="2"/>
          </rPr>
          <t xml:space="preserve">Bhatia Brothers
</t>
        </r>
        <r>
          <rPr>
            <sz val="9"/>
            <color indexed="81"/>
            <rFont val="Tahoma"/>
            <family val="2"/>
          </rPr>
          <t>BRIGHT WELD MIDDLE EAST FZE</t>
        </r>
      </text>
    </comment>
    <comment ref="J919" authorId="3" shapeId="0" xr:uid="{1F015B21-7E0B-4F43-8203-DFEA6276F042}">
      <text>
        <r>
          <rPr>
            <b/>
            <sz val="9"/>
            <color indexed="81"/>
            <rFont val="Tahoma"/>
            <family val="2"/>
          </rPr>
          <t xml:space="preserve">Bhatia Brothers:
</t>
        </r>
        <r>
          <rPr>
            <sz val="9"/>
            <color indexed="81"/>
            <rFont val="Tahoma"/>
            <family val="2"/>
          </rPr>
          <t>AEI Supplies FZE</t>
        </r>
      </text>
    </comment>
    <comment ref="I920" authorId="3" shapeId="0" xr:uid="{108B181B-B19B-48A6-B538-88390FC57331}">
      <text>
        <r>
          <rPr>
            <b/>
            <sz val="9"/>
            <color indexed="81"/>
            <rFont val="Tahoma"/>
            <family val="2"/>
          </rPr>
          <t>Bhatia Brothers:</t>
        </r>
        <r>
          <rPr>
            <sz val="9"/>
            <color indexed="81"/>
            <rFont val="Tahoma"/>
            <family val="2"/>
          </rPr>
          <t xml:space="preserve">
TRICE CHEMICALS INDUSTRIAL LLC</t>
        </r>
      </text>
    </comment>
  </commentList>
</comments>
</file>

<file path=xl/sharedStrings.xml><?xml version="1.0" encoding="utf-8"?>
<sst xmlns="http://schemas.openxmlformats.org/spreadsheetml/2006/main" count="4855" uniqueCount="1633">
  <si>
    <t>Sr No</t>
  </si>
  <si>
    <t xml:space="preserve">SUMMARY </t>
  </si>
  <si>
    <t>Total No Of RFQ Received</t>
  </si>
  <si>
    <t>Total No Of Qtn Received</t>
  </si>
  <si>
    <t>Total Value of Bids Submitted</t>
  </si>
  <si>
    <t>No Of bids Lots</t>
  </si>
  <si>
    <t>Total No Of Pending Bids</t>
  </si>
  <si>
    <t>Sl. No.</t>
  </si>
  <si>
    <t>Client</t>
  </si>
  <si>
    <t>Enquiry Ref. No.</t>
  </si>
  <si>
    <t>Salesperson/
Email Provider</t>
  </si>
  <si>
    <t>Package Description</t>
  </si>
  <si>
    <t>Enquiry 
Reciept</t>
  </si>
  <si>
    <t>Closing Date</t>
  </si>
  <si>
    <t>Quotation  Value 
(Supplier Name in Comments)</t>
  </si>
  <si>
    <t>Date of Submission</t>
  </si>
  <si>
    <t>Remark</t>
  </si>
  <si>
    <t>Q1</t>
  </si>
  <si>
    <t>Q2</t>
  </si>
  <si>
    <t>Q3</t>
  </si>
  <si>
    <t>D1</t>
  </si>
  <si>
    <t>D2</t>
  </si>
  <si>
    <t>D3</t>
  </si>
  <si>
    <t xml:space="preserve">Date : </t>
  </si>
  <si>
    <t>BIDS TRACKING REPORT</t>
  </si>
  <si>
    <t xml:space="preserve">RFQ send </t>
  </si>
  <si>
    <t xml:space="preserve">Qtn Recevied </t>
  </si>
  <si>
    <t>Lost (BCD Expired)</t>
  </si>
  <si>
    <t>ADNOC</t>
  </si>
  <si>
    <t> OXY OMAN</t>
  </si>
  <si>
    <t>ORPIC OMAN</t>
  </si>
  <si>
    <t>NMDC</t>
  </si>
  <si>
    <t>7570-25</t>
  </si>
  <si>
    <t>7571-25 </t>
  </si>
  <si>
    <t>7578-25</t>
  </si>
  <si>
    <t>7586-25</t>
  </si>
  <si>
    <t>7584-25</t>
  </si>
  <si>
    <t>7595-25</t>
  </si>
  <si>
    <t>BBMRO/1707/25</t>
  </si>
  <si>
    <t>BBMRO/1710/25</t>
  </si>
  <si>
    <t>BBMRO/1711/25</t>
  </si>
  <si>
    <t>Mabelle</t>
  </si>
  <si>
    <t>NA</t>
  </si>
  <si>
    <t>Retro-jet pipe Cleaning Nozzle - Top Urgent</t>
  </si>
  <si>
    <t>PUSH TROLLEY</t>
  </si>
  <si>
    <t>61 / SAS</t>
  </si>
  <si>
    <t>Shweta / Shailesh</t>
  </si>
  <si>
    <t>Shweta</t>
  </si>
  <si>
    <t>Person Responsible</t>
  </si>
  <si>
    <t>Name: Shweta Karnam (14384)</t>
  </si>
  <si>
    <t>RFQ 6000101627 - PR 4001377594 - BATTERY - E34</t>
  </si>
  <si>
    <t>6000101459 - FILTERS - RC9</t>
  </si>
  <si>
    <t>6000101341-SIGNALATION BOARD-RE7</t>
  </si>
  <si>
    <t>Sudhir</t>
  </si>
  <si>
    <t>BB/12/12057/2025</t>
  </si>
  <si>
    <t>Apoorv</t>
  </si>
  <si>
    <t>Doc276599545 - PR-0100003658 - RFQ1003523 - Stock</t>
  </si>
  <si>
    <t>AIRCONDITIONING PARTS PR 11942286 - Event ID: Doc2381422067</t>
  </si>
  <si>
    <t>BB/12/12061/2025</t>
  </si>
  <si>
    <t>BB/12/12062/2025</t>
  </si>
  <si>
    <t>Doc277439796 - PR-0200022788 - RFQ2006808-SHEET CLADDING</t>
  </si>
  <si>
    <t>BB/12/12063/2025</t>
  </si>
  <si>
    <t>BB/12/12065/2025</t>
  </si>
  <si>
    <t>OMAN - BID 20000593211 -SUPPLY OF TRANSMITTER ==&gt; REQUEST FOR QUOTATION&gt;&gt;&gt;PR-11918100</t>
  </si>
  <si>
    <t>7621-25</t>
  </si>
  <si>
    <t>Misbaul</t>
  </si>
  <si>
    <t>Shell Qatar RfQ MM 10545161</t>
  </si>
  <si>
    <t xml:space="preserve">BB/12/12058/2025 </t>
  </si>
  <si>
    <t>Doc276599517 - PR-0100003664 - RFQ1003522</t>
  </si>
  <si>
    <t xml:space="preserve">BB/12/12059/2025 </t>
  </si>
  <si>
    <t xml:space="preserve"> PR-0100003614 - RFQ1003495</t>
  </si>
  <si>
    <t>BB/12/12066/2025</t>
  </si>
  <si>
    <t>R 11943734 CYC-25-080-CC3D00-SPARE PARTS F/MUD PUMP / PN 8</t>
  </si>
  <si>
    <t>PR-0200022950 - RFQ2006772,HANDSET</t>
  </si>
  <si>
    <t>BB/12/12064/2025</t>
  </si>
  <si>
    <t>RFQ 100003047 - PR 1000002398 - PRESSURE VESSEL</t>
  </si>
  <si>
    <t>BB/12/12055/2025</t>
  </si>
  <si>
    <t>AA10681-O - Additonal Information Required</t>
  </si>
  <si>
    <t>BB/12/12068/2025</t>
  </si>
  <si>
    <t>Request for Quotation -PR 48728 - Supply of 5 1/8" 10K MANUAL GATE VALVES</t>
  </si>
  <si>
    <t>7636-25</t>
  </si>
  <si>
    <t>Mabelle/Avibaj</t>
  </si>
  <si>
    <t>7637-25</t>
  </si>
  <si>
    <t>7638-25</t>
  </si>
  <si>
    <t>7639-25</t>
  </si>
  <si>
    <t>BB/12/12075/2025</t>
  </si>
  <si>
    <t>Doc277490845 - PR-0100003689 - RFQ1003548 - Enclosure, Floodlight, Ballast</t>
  </si>
  <si>
    <t>LEVEL SWITCH 1012500501</t>
  </si>
  <si>
    <t>DEWA</t>
  </si>
  <si>
    <t>Supply of Firefighting CO2 sy 1012500294</t>
  </si>
  <si>
    <t>PR 1000002541-RFQ 410000056-TIG WELDING TORCH.</t>
  </si>
  <si>
    <t>SEWA</t>
  </si>
  <si>
    <t xml:space="preserve"> BB/12/12077/2025</t>
  </si>
  <si>
    <t>BB/12/12076/2025</t>
  </si>
  <si>
    <t>SAIPEM</t>
  </si>
  <si>
    <t>DRAGONOIL</t>
  </si>
  <si>
    <t>SNOC</t>
  </si>
  <si>
    <t>BB EXPORT</t>
  </si>
  <si>
    <t>BB/12/12079/2025</t>
  </si>
  <si>
    <t>RFQ: March FFSD 2025</t>
  </si>
  <si>
    <t>BB/12/12080/2025</t>
  </si>
  <si>
    <t>LTA 85 (033715) : 1/2" and 1" Inconel 625 Plugs for subsea valves PR under creation VC 176825</t>
  </si>
  <si>
    <t>BB/12/12081/2025</t>
  </si>
  <si>
    <t>PR 11941381 - Event ID: Doc2400000824</t>
  </si>
  <si>
    <t>Request for Offer 6001847674 -PR 11941767 Rev 0 - Materials for DSV Mermaid Endurer Lift Bags</t>
  </si>
  <si>
    <t>BB/12/12082/2025</t>
  </si>
  <si>
    <t>PR 11942239 CYC-24-580 LSA WIRES FOR LIFE BOAT / PN 8</t>
  </si>
  <si>
    <t>OXY OMAN</t>
  </si>
  <si>
    <t xml:space="preserve"> 7682-25 </t>
  </si>
  <si>
    <t xml:space="preserve"> 7683-25 </t>
  </si>
  <si>
    <t xml:space="preserve"> 7684-25 </t>
  </si>
  <si>
    <t xml:space="preserve"> 7685-25 </t>
  </si>
  <si>
    <t>PR 11590270 RFQ 6000020538 FOR ROSEMOUNT PARTS</t>
  </si>
  <si>
    <t>PR 11590186 - RFQ 6000020615</t>
  </si>
  <si>
    <t>PR 11590232 - RFQ 6000020616</t>
  </si>
  <si>
    <t>PR 11590240 - RFQ 6000020617</t>
  </si>
  <si>
    <t>30.1.25/3.2.25</t>
  </si>
  <si>
    <t>Q4</t>
  </si>
  <si>
    <t>Q5</t>
  </si>
  <si>
    <t>Q6</t>
  </si>
  <si>
    <t>D4</t>
  </si>
  <si>
    <t>D5</t>
  </si>
  <si>
    <t>D6</t>
  </si>
  <si>
    <t>BB/12/12084/2025</t>
  </si>
  <si>
    <t>RFQ 6001848192/PR 11942628 RENTAL OF DIESEL ENGINE PUMPS/HAIL&amp;GHASHA</t>
  </si>
  <si>
    <t>7717-25</t>
  </si>
  <si>
    <t>7718-25</t>
  </si>
  <si>
    <t>7719-25</t>
  </si>
  <si>
    <t>BB/12/12096/2025</t>
  </si>
  <si>
    <t>PR-0200023508 - RFQ2006980</t>
  </si>
  <si>
    <t>PR-0100003699 - RFQ1003580 - O-RING_22340627,ALFA LAVAL, and Repair Kit</t>
  </si>
  <si>
    <t>BB/12/12097/2025</t>
  </si>
  <si>
    <t>Doc277997597 - PR-0100003704 - RFQ1003569 - HONEYWELL POWER SUPPLY</t>
  </si>
  <si>
    <t>BB/12/12100/2025</t>
  </si>
  <si>
    <t>BB/12/12095/2025</t>
  </si>
  <si>
    <t>Doc2419966362 PR 11946824 RFQ_6001849670</t>
  </si>
  <si>
    <t>BB/12/12101/2025</t>
  </si>
  <si>
    <t>PR 11945428 OMA-25-046-ATES 09 DDGG EXPANSION JOINTS / SC 9</t>
  </si>
  <si>
    <t>BB/12/12104/2025</t>
  </si>
  <si>
    <t>BB/12/12103/2025</t>
  </si>
  <si>
    <t>PR-1000002587-RFQ-410000097-RGS SOLENOID</t>
  </si>
  <si>
    <t>Doc280140880 - PR 1000002577 - RFQ 0410000095 - Solenoid Valve</t>
  </si>
  <si>
    <t>BB/12/12105/2025</t>
  </si>
  <si>
    <t>Doc280183628 - PR 1000002488 - RFQ 0410000102 - Cutting Disc</t>
  </si>
  <si>
    <t>PR 11945427 OMA-25-026-ATES 005 THREE WAY VALVES / SC 9</t>
  </si>
  <si>
    <t>BB/12/12106/2025</t>
  </si>
  <si>
    <t>BB/12/12107/2025</t>
  </si>
  <si>
    <t>Doc2425396254 PR 11946887 RFQ 6001849781</t>
  </si>
  <si>
    <t>BB/12/12109/2025</t>
  </si>
  <si>
    <t>PR 11947471 &amp; 11948297 / SC 9</t>
  </si>
  <si>
    <t>BB/12/12108/2025</t>
  </si>
  <si>
    <t>Doc280337017 - (2)PR-0200021814 - RFQ2006447</t>
  </si>
  <si>
    <t>BB/12/12110/2025</t>
  </si>
  <si>
    <t>PR 11947623 SAN-MRP 25-068 BRONZE BAL VALVES / SANTORINI</t>
  </si>
  <si>
    <t>BB/12/12111/2025</t>
  </si>
  <si>
    <t>BB/12/12113/2025</t>
  </si>
  <si>
    <t>Doc259546195 - PR-0200019239 - RFQ2005413</t>
  </si>
  <si>
    <t>PR-1000002651-RFQ- 410000116-Compenstaor.</t>
  </si>
  <si>
    <t>BB/12/12115/2025</t>
  </si>
  <si>
    <t>7772-25</t>
  </si>
  <si>
    <t>7773-25</t>
  </si>
  <si>
    <t>7774-25</t>
  </si>
  <si>
    <t>PR 11590250 - RFQ 6000020620</t>
  </si>
  <si>
    <t>PR 11590260 - RFQ 6000020624</t>
  </si>
  <si>
    <t>BB/12/12117/2025</t>
  </si>
  <si>
    <t>Doc2440465080 PR 11948364 RFQ 6001851023</t>
  </si>
  <si>
    <t>BB/12/12119/2025</t>
  </si>
  <si>
    <t>7799-25</t>
  </si>
  <si>
    <t>7800-25</t>
  </si>
  <si>
    <t>7801-25</t>
  </si>
  <si>
    <t>PR 11617617 - RFQ 6000021544 -allen bradley</t>
  </si>
  <si>
    <t>PR 11617625 - RFQ 6000021545 asco</t>
  </si>
  <si>
    <t>PR 11617633 - RFQ 6000021546 -ashcroft</t>
  </si>
  <si>
    <t xml:space="preserve">BB/12/12121/2025 </t>
  </si>
  <si>
    <t>PR 48908 - Dunnage / Wood for pipe storage</t>
  </si>
  <si>
    <t>BB/12/12124/2025</t>
  </si>
  <si>
    <t>Doc2452382568 PR 11949144 RFQ 6001851890</t>
  </si>
  <si>
    <t>BB/12/12123/2025</t>
  </si>
  <si>
    <t>EXPRESSION OF INTEREST - PR-200021036 - PIPING VALVES</t>
  </si>
  <si>
    <t>ADNOC RFQ/EOI # 6000105393 - "OFI TESTING EQUIPMENT INC (OFITE)" LAB ITEMS - URGENT</t>
  </si>
  <si>
    <t>Meenakshi Rana</t>
  </si>
  <si>
    <t>BB/12/12128/2025</t>
  </si>
  <si>
    <t>WINCHES WITH ROPE</t>
  </si>
  <si>
    <t>BB/12/12127/2025</t>
  </si>
  <si>
    <t>ABB PRESSURE TRANSMITTER</t>
  </si>
  <si>
    <t>Unquenched Toluene Standard f 1012501450</t>
  </si>
  <si>
    <t>FUSE CHAMBER WITH HOLDER;RMU, 1012501423</t>
  </si>
  <si>
    <t>PR 48948 - PRESSURE &amp; TEMPERATURE DATA LOGGER</t>
  </si>
  <si>
    <t>BB/12/12134/2025</t>
  </si>
  <si>
    <t>BB/12/11135/2025</t>
  </si>
  <si>
    <t>ASR-PR-RIGGING ACCESSORIES</t>
  </si>
  <si>
    <t xml:space="preserve">BB/12/12136/2025 </t>
  </si>
  <si>
    <t>RFQ- P#3116&gt;&gt; HIGH PRESSURE CONNECTORS</t>
  </si>
  <si>
    <t>RFP 6000105100 RELAY,OVRLD</t>
  </si>
  <si>
    <t xml:space="preserve"> RFQ 6000104175 - Surface Safety Valve and spare parts</t>
  </si>
  <si>
    <t xml:space="preserve"> Single Stage RFQ 6000104821</t>
  </si>
  <si>
    <t xml:space="preserve"> RFQ-6000105908-Hoke Items</t>
  </si>
  <si>
    <t>BB/12/12139/2025</t>
  </si>
  <si>
    <t>RFQ-2025-146145 (Supply of Bolt)</t>
  </si>
  <si>
    <t>BB/12/12138/2025</t>
  </si>
  <si>
    <t>RFQ-2025-146159 (Supply of Line Pipe &amp; Elbow)</t>
  </si>
  <si>
    <t>BB/12/12140/2025</t>
  </si>
  <si>
    <t>RFQ: 100003151</t>
  </si>
  <si>
    <t>BB/12/12141/2025</t>
  </si>
  <si>
    <t>Purchase Requisition No 1000002611</t>
  </si>
  <si>
    <t>BB/12/12142/2025</t>
  </si>
  <si>
    <t>11947032_ACE 1048 closed loop pump_ TOP URGENT!</t>
  </si>
  <si>
    <t>BB/12/12145/2025</t>
  </si>
  <si>
    <t>Doc282553272 - PR-0200023618 - RFQ2007227-ELECTRICAL</t>
  </si>
  <si>
    <t>RFQ 6000106272 SUPPLY OF ALARM MANAGEMENT SPARES</t>
  </si>
  <si>
    <t>RFQ 6000106251 SUPPLY OF TOOLS</t>
  </si>
  <si>
    <t>Supply of thinner for E-stati 1012501409</t>
  </si>
  <si>
    <t>Food Grade Glycerin 1012501562</t>
  </si>
  <si>
    <t>SPARES 1012501530</t>
  </si>
  <si>
    <t>BB/12/12146/2025</t>
  </si>
  <si>
    <t>DPE Supplier Printable View RFQ-2025-146211</t>
  </si>
  <si>
    <t>D7</t>
  </si>
  <si>
    <t>Q7</t>
  </si>
  <si>
    <t>Q8</t>
  </si>
  <si>
    <t>Q9</t>
  </si>
  <si>
    <t>Q10</t>
  </si>
  <si>
    <t>D8</t>
  </si>
  <si>
    <t>D9</t>
  </si>
  <si>
    <t>D10</t>
  </si>
  <si>
    <t>12.3.2025/13.3.25</t>
  </si>
  <si>
    <t>BB/12/12147/2025</t>
  </si>
  <si>
    <t>DPE Supplier Printable View RFQ-2025-146343</t>
  </si>
  <si>
    <t>BB/12/12148/2025</t>
  </si>
  <si>
    <t>DPE Supplier Printable View RFQ-2025-146342</t>
  </si>
  <si>
    <t>BB/12/12143/2025</t>
  </si>
  <si>
    <t>Doc278234572 - PR 1000002541-RFQ 410000056-TIG WELDING TORCH</t>
  </si>
  <si>
    <t>BB/12/12150/2025</t>
  </si>
  <si>
    <t>BB/12/12149/2025</t>
  </si>
  <si>
    <t>Supply of Elbow - CAF-Fateh-AQA-293-P - CRITICAL</t>
  </si>
  <si>
    <t>HP/LP-1/2/3 STOP VALVE STEM ; 1012501588</t>
  </si>
  <si>
    <t xml:space="preserve"> Required for BPST EHC oil sys 1012501591</t>
  </si>
  <si>
    <t xml:space="preserve"> NG SAFETY VALVES REPAIR KIT F 1012501604</t>
  </si>
  <si>
    <t xml:space="preserve"> Hydraulic Hoses for HRSG DD H 1012501705</t>
  </si>
  <si>
    <t xml:space="preserve"> SPARE PARTS FOR DREHMO ACTUATOR 1012501602</t>
  </si>
  <si>
    <t>BB/12/12152/2025</t>
  </si>
  <si>
    <t>Material for A-902A &amp; M-907A</t>
  </si>
  <si>
    <t>BB/12/12153/2025</t>
  </si>
  <si>
    <t>Doc281636941 - PR-0100003800 - RFQ1003671 - Spares for Volvo Penta</t>
  </si>
  <si>
    <t>BB/12/12154/2025</t>
  </si>
  <si>
    <t>Doc282942617 - PR 1000002707 - RFQ 410000172 - Water Heater</t>
  </si>
  <si>
    <t>BB/12/12155/2025</t>
  </si>
  <si>
    <t>Doc281632458 -PR-0100003804 - RFQ1003672 - Pressure Gauges (Wika)</t>
  </si>
  <si>
    <t>BB/12/12156/2025</t>
  </si>
  <si>
    <t>Doc283057284 - 410000164,FPD410000164 charcoal salt</t>
  </si>
  <si>
    <t>BB/12/12158/2025</t>
  </si>
  <si>
    <t>PR 11950095// PUMPS AND SPARE PARTS</t>
  </si>
  <si>
    <t>13338. 68</t>
  </si>
  <si>
    <t>BB/12/12160/2025</t>
  </si>
  <si>
    <t>PR RMC1208 - AIR PUMP</t>
  </si>
  <si>
    <t>BB/12/12161/2025</t>
  </si>
  <si>
    <t>RFQ-2025-146586 (Supply of Pipe &amp; Pipe Fittings)</t>
  </si>
  <si>
    <t>BB/12/12163/2025</t>
  </si>
  <si>
    <t>PR 1000002728 - RFQ 0410000195 - Directional Valve.</t>
  </si>
  <si>
    <t>BB/12/12164/2025</t>
  </si>
  <si>
    <t>RFQ-2025-146585 (Supply of Pipe &amp; Pipe Fittings)</t>
  </si>
  <si>
    <t>BB/12/12180/2025</t>
  </si>
  <si>
    <t>DANFOSS PUMP</t>
  </si>
  <si>
    <t>BB/12/12166/2025</t>
  </si>
  <si>
    <t>Doc283524704 - PR 1000002717 - RFQ 410000193 - Push Button</t>
  </si>
  <si>
    <t>BB/12/12167/2025</t>
  </si>
  <si>
    <t>Doc2492996972 RFQ STATIC TANK LIFTING RIGGING (FOC) PR 11950729</t>
  </si>
  <si>
    <t>NEEDLE VALVES CARTRIDGE TYPE 1012501326</t>
  </si>
  <si>
    <t>MRO</t>
  </si>
  <si>
    <t>BB/12/12169/2025</t>
  </si>
  <si>
    <t>RFQ-2025-146701, Supply of Flange</t>
  </si>
  <si>
    <t>BB/12/12170/2025</t>
  </si>
  <si>
    <t>Doc283806029 - PR-1000002659-RFQ-0410000223-TOP CAP</t>
  </si>
  <si>
    <t>BB/12/12176/2025</t>
  </si>
  <si>
    <t>RFQ FOR FABRICATION OF PENNANT WIRE_11952201 - Event ID: Doc2496664140</t>
  </si>
  <si>
    <t>BB/12/12175/2025</t>
  </si>
  <si>
    <t>RFQ FOR ELECTRICAL MAT. FOR FJC POWER SUPPLY_ 11951605 - Event ID: Doc2497488767</t>
  </si>
  <si>
    <t>BB/12/12178/2025</t>
  </si>
  <si>
    <t>BB/12/12179/2025</t>
  </si>
  <si>
    <t>SPD1000002721 RFQ410000235</t>
  </si>
  <si>
    <t>SPD1000002722 RFQ410000237.</t>
  </si>
  <si>
    <t>SPD1000002720 RFQ410000233</t>
  </si>
  <si>
    <t>BB/12/12181/2025</t>
  </si>
  <si>
    <t>SRO 1000002735 RFQ 410000239</t>
  </si>
  <si>
    <t>ARABIAN INDUSTRIES</t>
  </si>
  <si>
    <t>BB/12/12184/2025</t>
  </si>
  <si>
    <t>Doc283799613 - PR 10000753 - RFQ 410000221 - Light</t>
  </si>
  <si>
    <t>9.4.2025/10.4.25</t>
  </si>
  <si>
    <t>BB/12/12186/2025</t>
  </si>
  <si>
    <t>RFQ - TANK HYDRO TEST PACKAGE &amp; WATER TEST CERTIFCATE</t>
  </si>
  <si>
    <t>BB/12/12187/2025</t>
  </si>
  <si>
    <t>RFQ-2025-146851 (Supply of Flange (CRT)</t>
  </si>
  <si>
    <t>DUBAI PETROLEUM ESTABLISHMENT</t>
  </si>
  <si>
    <t>Doc283961851 - PR-0200024556 - RFQ2007344</t>
  </si>
  <si>
    <t>BB/12/12190/2025</t>
  </si>
  <si>
    <t>BB/12/12185/2025</t>
  </si>
  <si>
    <t>PIPES</t>
  </si>
  <si>
    <t>BB/12/12193/2025</t>
  </si>
  <si>
    <t>RFQ for Hook up &amp; Instrumentation</t>
  </si>
  <si>
    <t>BB/12/12194/2025</t>
  </si>
  <si>
    <t>PR 1000002759 - RFQ 410000258 - Limit Switch</t>
  </si>
  <si>
    <t>ORASCOM</t>
  </si>
  <si>
    <t>BB/12/12196/2025</t>
  </si>
  <si>
    <t>PR 1000002629 - RFQ 410000122 - Valves</t>
  </si>
  <si>
    <t>BB/12/12195/2025</t>
  </si>
  <si>
    <t>RFQ-2025-147102 (Supply of Flange - CRI)</t>
  </si>
  <si>
    <t>7944-25</t>
  </si>
  <si>
    <t>PR 11642017 RFQ 6000021882 FOR VALVE,GLOBE</t>
  </si>
  <si>
    <t>7945-25</t>
  </si>
  <si>
    <t>PR 11653004 - RFQ 6000022594-ASSEAL</t>
  </si>
  <si>
    <t>7946-25</t>
  </si>
  <si>
    <t>PR 11653021 - RFQ 6000022595-BALDOR</t>
  </si>
  <si>
    <t>PR 11653022 - RFQ 6000022729-CPC PUMP</t>
  </si>
  <si>
    <t>PR 11674584 RFQ 6000022762 FOR KK SCREW-HOWDEN</t>
  </si>
  <si>
    <t>PR 11674588 RFQ 6000022763 FOR KIT PUMP FOR PUMPING UNIT-KIMAX</t>
  </si>
  <si>
    <t>PR 11674590 RFQ 6000022764 FOR ELEMENT,FILTER TAG 2 VBB60-PENTAIR</t>
  </si>
  <si>
    <t>RFQ 6000022726 - PR 11661656 Valves-Groth</t>
  </si>
  <si>
    <t>RFQ 6000022738 PR 11674582 ELECTRICAL MISC</t>
  </si>
  <si>
    <t>7947-25</t>
  </si>
  <si>
    <t xml:space="preserve"> 7948-25 </t>
  </si>
  <si>
    <t xml:space="preserve"> 7949-25</t>
  </si>
  <si>
    <t xml:space="preserve"> 7950-25</t>
  </si>
  <si>
    <t>7951-25</t>
  </si>
  <si>
    <t>7952-25</t>
  </si>
  <si>
    <t>BB/12/12198/2025</t>
  </si>
  <si>
    <t>Doc281935325 - PR-0100003808 - RFQ1003678 - Radiator Assembly - Compon</t>
  </si>
  <si>
    <t>BB/12/12199/2025</t>
  </si>
  <si>
    <t>PR 1000002785 - RFQ 410000274 - Steel Angle</t>
  </si>
  <si>
    <t>BB/12/12200/2025</t>
  </si>
  <si>
    <t>RFQ-2025-147235 Supply of Spares (PIPE &amp; PIPE FITTINGS)</t>
  </si>
  <si>
    <t>7967-25</t>
  </si>
  <si>
    <t>RFQ 6000022780 - PR 11669865 CABLES GLAND</t>
  </si>
  <si>
    <t>7968-25</t>
  </si>
  <si>
    <t>RFQ 6000022787 - PR 11650281 FITTINGS</t>
  </si>
  <si>
    <t>RFQ 6000022788 - PR 11670009 GEEPAS</t>
  </si>
  <si>
    <t>7969-25</t>
  </si>
  <si>
    <t>RFQ 6000022810 - PR 11650294 FITTINGS</t>
  </si>
  <si>
    <t>7970-25</t>
  </si>
  <si>
    <t>7971-25</t>
  </si>
  <si>
    <t>7972-25</t>
  </si>
  <si>
    <t>7973-25</t>
  </si>
  <si>
    <t>RFQ 6000022813 - PR 11678279 INS PRODUCT CARBIDE</t>
  </si>
  <si>
    <t>RFQ 6000022814 - PR 11678280 FITTINGS</t>
  </si>
  <si>
    <t>RFQ 6000022815 - PR 11678285 PELICAN</t>
  </si>
  <si>
    <t>BB/12/12202/2025</t>
  </si>
  <si>
    <t>RFQ FOR PR 11945820 BLANKET ORDER FOR HAND TOOLS - Event ID: Doc2510045029</t>
  </si>
  <si>
    <t>BB/12/12205/2025</t>
  </si>
  <si>
    <t>RFQ-2025-147213 (Supply of Flange)</t>
  </si>
  <si>
    <t>RFQ-2025-147387 (Supply of Camlock Couplings)</t>
  </si>
  <si>
    <t>BB/12/12204/2025</t>
  </si>
  <si>
    <t>BB/12/12209/2025</t>
  </si>
  <si>
    <t>RFQ FOR MAT. REQ. OF CS LAYDOWN ABANDONEMENT_11954764 - Event ID: Doc2515296674</t>
  </si>
  <si>
    <t>7987-25</t>
  </si>
  <si>
    <t>7988-25</t>
  </si>
  <si>
    <t>PR 11674600 RFQ 6000023008 FOR BOLT,MACHINE</t>
  </si>
  <si>
    <t>PR 11684247 RFQ6000023009 FOR HOSE,AIR 12 LG COILED ASSEMBLY,RED,BLUE</t>
  </si>
  <si>
    <t>BB/12/12211/2025</t>
  </si>
  <si>
    <t>Doc283844178 - PR-0100003859 - RFQ1003735-Stock</t>
  </si>
  <si>
    <t>BB/12/12212/2025</t>
  </si>
  <si>
    <t>RFQ-2025-147558 (Supply of Pipe &amp; Pipe Fittings-BB)</t>
  </si>
  <si>
    <t>BB/12/12215/2025</t>
  </si>
  <si>
    <t>RFQ-2025-147535 (Supply of Spares (PIPE &amp; PIPE FITTINGS))</t>
  </si>
  <si>
    <t>7995-25</t>
  </si>
  <si>
    <t>PR 11678818 RFQ 6000023016 SWITCH,PRESSURE_HIGH GAS</t>
  </si>
  <si>
    <t>7996-25</t>
  </si>
  <si>
    <t>PR 11684250 RFQ 6000023074 FOR KIT,-SOLENOID VALVE-ASCO</t>
  </si>
  <si>
    <t>7997-25</t>
  </si>
  <si>
    <t>7998-25</t>
  </si>
  <si>
    <t>7999-25</t>
  </si>
  <si>
    <t>RFQ 6000022726 - PR 11661656 Valves</t>
  </si>
  <si>
    <t>RFQ 6000023108 - PR 11647142 TRI ETHYLENE GLYCO</t>
  </si>
  <si>
    <t>RFQ 6000023109 - PR 11675998 Electricals</t>
  </si>
  <si>
    <t>RFQ 6000023110 - PR 11678334 SPECTREX</t>
  </si>
  <si>
    <t>BB/12/12217/2025</t>
  </si>
  <si>
    <t>RFQ-2025-147586 (Supply of spares (PIPE))</t>
  </si>
  <si>
    <t>BB/12/12219/2025</t>
  </si>
  <si>
    <t>RFQ-2025-147564 (Supply of Pipe - Urgent)</t>
  </si>
  <si>
    <t>BB/12/12221/2025</t>
  </si>
  <si>
    <t>RFQ-2025-147604 (Supply of Pipes - SWF-CAF-AA-362 AA - Urgent)</t>
  </si>
  <si>
    <t>BB/12/12222/2025</t>
  </si>
  <si>
    <t>RFQ-2025-147608 (Supply of Flange)</t>
  </si>
  <si>
    <t xml:space="preserve"> 8013-25</t>
  </si>
  <si>
    <t xml:space="preserve"> 8014-25</t>
  </si>
  <si>
    <t xml:space="preserve"> 8015-25</t>
  </si>
  <si>
    <t xml:space="preserve"> 8016-25</t>
  </si>
  <si>
    <t>PR 11684248 RFQ 6000023010 FOR ACTUATOR,PNEUMATIC</t>
  </si>
  <si>
    <t>PR 11686343 RFQ 6000023063 BLOWER</t>
  </si>
  <si>
    <t>RFQ 6000023182 PR 11674579 11684243 ELECTRICAL ITEMS</t>
  </si>
  <si>
    <t>RFQ 6000023186 PR 11417187 ELECTRICAL TOOLS</t>
  </si>
  <si>
    <t>BB/12/12225/2025</t>
  </si>
  <si>
    <t>RFQ-2025-147643 (Supply of Flanges - DP-24SUNEBOP02-0023 - Critical)</t>
  </si>
  <si>
    <t xml:space="preserve">BB/12/12226/2025
</t>
  </si>
  <si>
    <t>PR 1000002738 - RFQ 0410000236 - Fire Pump Motor Components.</t>
  </si>
  <si>
    <t>RFQ-2025-147625 (Supply Agreement for Pipes - TC)</t>
  </si>
  <si>
    <t>BB/12/12228/2025</t>
  </si>
  <si>
    <t>BB/12/12229/2025</t>
  </si>
  <si>
    <t>RFQ-2025-147804 (Supply of Flange &amp; Reducer)</t>
  </si>
  <si>
    <t>BB/12/12233/2025</t>
  </si>
  <si>
    <t>RFQ-2025-147772 (Supply of Elbow - CRITICAL)</t>
  </si>
  <si>
    <t>BB/12/12235/2025</t>
  </si>
  <si>
    <t>Doc285832323 - PR 1000002847 - RFQ 0410000307 - VME Controller Card</t>
  </si>
  <si>
    <t>BB/12/12234/2025</t>
  </si>
  <si>
    <t>Doc285832354 - PR 1000002864 - RFQ 0410000308 - Solenoid Valve</t>
  </si>
  <si>
    <t>BB/12/12236/2025</t>
  </si>
  <si>
    <t>RFQ FOR - COKE COOLER INCLUDING SWEEP - ADNOC RUWAIS REFINERY II -Instrument Bulk</t>
  </si>
  <si>
    <t>8029-25</t>
  </si>
  <si>
    <t>8030-25</t>
  </si>
  <si>
    <t>8031-25</t>
  </si>
  <si>
    <t>8032-25</t>
  </si>
  <si>
    <t>RFQ 6000023410 - PR 11692014 Generals</t>
  </si>
  <si>
    <t>RFQ 6000023416 - PR 11692872 Electricals</t>
  </si>
  <si>
    <t>RFQ 6000023417 - PR 11693052 DISTRIBUTION BOARD</t>
  </si>
  <si>
    <t>RFQ 6000023419 - PR 11693165 TB WOODS</t>
  </si>
  <si>
    <t>BB/12/12238/2025</t>
  </si>
  <si>
    <t>Doc286103611 - PR-200024767 - RFQ2007514</t>
  </si>
  <si>
    <t>BB/12/12243/2025</t>
  </si>
  <si>
    <t>EGA RFQ 6000776111</t>
  </si>
  <si>
    <t>EGA</t>
  </si>
  <si>
    <t>BB/12/12239/2025</t>
  </si>
  <si>
    <t>RFQ-2025-147871 (Supply of Flanges)</t>
  </si>
  <si>
    <t>BB/12/12242/2025</t>
  </si>
  <si>
    <t>PP-M-0021- Production Separator -Major Inspection</t>
  </si>
  <si>
    <t>BB/12/12240/2025</t>
  </si>
  <si>
    <t>RFQ-2025-147640 (Supply of Flanges and Fittings - DP-24SUNEBOP02-0023 - Critical)</t>
  </si>
  <si>
    <t>BB/12/12241/2025</t>
  </si>
  <si>
    <t>RFQ-2025-147870 (Supply of Elbow)</t>
  </si>
  <si>
    <t>BB/12/12245/2025</t>
  </si>
  <si>
    <t>PR 11956487 - Event ID: Doc2536237944</t>
  </si>
  <si>
    <t>BB/12/12246/2025</t>
  </si>
  <si>
    <t>PR 1000002895 - RFQ 0410000324 - Sensors</t>
  </si>
  <si>
    <t>BB/12/12248/2025</t>
  </si>
  <si>
    <t>Doc2536237960 - RFQ RFQ 6001857945 PR 11956488 2.5 inch Hydr Hoses for Menck Hammers</t>
  </si>
  <si>
    <t xml:space="preserve"> 8043-25</t>
  </si>
  <si>
    <t xml:space="preserve"> 8045-25</t>
  </si>
  <si>
    <t xml:space="preserve"> 8046-25</t>
  </si>
  <si>
    <t xml:space="preserve"> 8047-25</t>
  </si>
  <si>
    <t xml:space="preserve"> 8048-25</t>
  </si>
  <si>
    <t>PR 1170661 RFQ 6000023616 VALVE,BUTTERFLY LUG WAFER 6150LB-crane valve</t>
  </si>
  <si>
    <t>PR 11702662 RFQ 6000023617 FOR VALVE,CONTROL 3 ,300LB</t>
  </si>
  <si>
    <t>RFQ 6000023578, PR 11702642, STK (FLOW GAUGE - PULSAFEEDER)</t>
  </si>
  <si>
    <t>RFQ 6000023580, PR 11702646, STK (ELECTRIC MOTOR AND FAN BLADES - TRANE OR CHANGZHOU YONGAN ELECTRIC)</t>
  </si>
  <si>
    <t>RFQ 6000023582, PR 11702649, STK (BATTERIES - POWER SONIC, YUASA OR WILSON)</t>
  </si>
  <si>
    <t xml:space="preserve"> 8051-25</t>
  </si>
  <si>
    <t xml:space="preserve"> 8055-25</t>
  </si>
  <si>
    <t xml:space="preserve"> 8052-25</t>
  </si>
  <si>
    <t xml:space="preserve"> 8053-25</t>
  </si>
  <si>
    <t xml:space="preserve"> 8054-25</t>
  </si>
  <si>
    <t xml:space="preserve"> 8057-25</t>
  </si>
  <si>
    <t xml:space="preserve"> 8058-25</t>
  </si>
  <si>
    <t xml:space="preserve"> 8059-25</t>
  </si>
  <si>
    <t>PR 11702673 RFQ 6000023623 FOR SWITCH OIL FAILURE</t>
  </si>
  <si>
    <t>PR 11702672 RFQ 6000023622 FOR VALVE,BUTTERFLY CONTROL 3 CLASS 150</t>
  </si>
  <si>
    <t>PR 11702671 RFQ 6000023621 FOR SEAL,MECHANICAL 1.875-crane valve</t>
  </si>
  <si>
    <t>PR 11702670 RFQ 6000023620 FOR GLOVES</t>
  </si>
  <si>
    <t>PR 11702667 RFQ 6000023618 FOR FILTER CERAMIC HSG</t>
  </si>
  <si>
    <t>PR 1172669 RFQ 6000023619 FOR GENERAL ELECTRICAL</t>
  </si>
  <si>
    <t>NATIONAL OILWELL VARCO 11694559 RFQ 6000023314</t>
  </si>
  <si>
    <t xml:space="preserve"> 8066-25</t>
  </si>
  <si>
    <t xml:space="preserve"> 8067-25</t>
  </si>
  <si>
    <t xml:space="preserve"> 8068-25</t>
  </si>
  <si>
    <t xml:space="preserve"> 8070-25</t>
  </si>
  <si>
    <t xml:space="preserve"> 8069-25</t>
  </si>
  <si>
    <t>RFQ 6000023115 - PR 11686324 TIRES</t>
  </si>
  <si>
    <t>RFQ 6000023718 - PR 11684173 CATERPILLAR</t>
  </si>
  <si>
    <t>RFQ 6000023719 - PR 11700205 CAT ITEMS</t>
  </si>
  <si>
    <t>RFQ 6000023720 - PR 11704553 Generals</t>
  </si>
  <si>
    <t>Supply of spares for NG Contr 1012502114</t>
  </si>
  <si>
    <t xml:space="preserve">Air pump Oil/water transfer;C 1012502290 </t>
  </si>
  <si>
    <t>SPARES 1012406599</t>
  </si>
  <si>
    <t>Spare Limit Switch 1012502429</t>
  </si>
  <si>
    <t>Booster pump for Al Yassat Is 1012502536</t>
  </si>
  <si>
    <t xml:space="preserve"> SLING_WEB; WIDTH: 1012502260</t>
  </si>
  <si>
    <t>BB/12/12252/2025</t>
  </si>
  <si>
    <t>RFQ-2025-148149 (Supply of Flange and Fittings - RA-331(A) - Urgent)</t>
  </si>
  <si>
    <t xml:space="preserve"> CATERPILLAR SPARE PARTS 1012502541</t>
  </si>
  <si>
    <t>SUPPLY OF GASKETS FOR M STATI 1012502455</t>
  </si>
  <si>
    <t xml:space="preserve"> SUPPLY OF RUBBER EXPANSION JO 1012502570</t>
  </si>
  <si>
    <t>SUPPLY OF FILTER ELEMENTS FOR 1012502454</t>
  </si>
  <si>
    <t>DD- PT7600VP BROTHER LABELLIN 1012502479</t>
  </si>
  <si>
    <t xml:space="preserve"> Supply of DN 350 rubber expan 1012502488</t>
  </si>
  <si>
    <t>BB/12/12255/2025</t>
  </si>
  <si>
    <t>RFQ-2025-148308 (Supply of Linepipe - DP-18I020-0683)</t>
  </si>
  <si>
    <t>8072-25</t>
  </si>
  <si>
    <t>8075-25</t>
  </si>
  <si>
    <t>8077-25</t>
  </si>
  <si>
    <t>8078-25</t>
  </si>
  <si>
    <t>RFQ 6000023733 PR 11704398 LAPP WIRE</t>
  </si>
  <si>
    <t>RFQ 6000023673 PR 11702827 SIGN BOARDS</t>
  </si>
  <si>
    <t>PR 1170661 RFQ 6000023616 VALVE,BUTTERFLY LUG WAFER 6150LB</t>
  </si>
  <si>
    <t>PR 11674607 RFQ 6000022769 FOR ELEMENT,FILTER F,SCANNER COOLING AIR BLOWER</t>
  </si>
  <si>
    <t>8079-25</t>
  </si>
  <si>
    <t>8080-25</t>
  </si>
  <si>
    <t>8081-25</t>
  </si>
  <si>
    <t>8082-25</t>
  </si>
  <si>
    <t>RFQ 6000016227 - PR 11403127 VICTORINOX-7053-24</t>
  </si>
  <si>
    <t>PR 11674604 - RFQ 6000022896</t>
  </si>
  <si>
    <t>PR 11702671 RFQ 6000023621 FOR SEAL,MECHANICAL 1.875</t>
  </si>
  <si>
    <t>RFQ 6000023750 PR 11702624 BELT AND HOSE</t>
  </si>
  <si>
    <t>BB/12/12261/2025</t>
  </si>
  <si>
    <t>RFQ-2025-148359 (Supply of Strainer - DP-ONSMARA30M223P-0001)</t>
  </si>
  <si>
    <t>BB/12/12262/2025</t>
  </si>
  <si>
    <t>RFQ-2025-148360 (Supply of Tee &amp; Fittings - DP-24SUNEBOP02-0023 - CRITICAL)</t>
  </si>
  <si>
    <t>DIAPHRAGMS FOR AUTO DELUGE VA 1012502603</t>
  </si>
  <si>
    <t>SUPPLY OF DFO FORWARDING PUMP 1012502585</t>
  </si>
  <si>
    <t xml:space="preserve"> AXE_TYPE: PICK 1012502653</t>
  </si>
  <si>
    <t xml:space="preserve"> INSURANCE SPARE PARTS 1012502373</t>
  </si>
  <si>
    <t>L-Station Desal need to purch 1012502689</t>
  </si>
  <si>
    <t>Flow Transmitter 1012502366</t>
  </si>
  <si>
    <t>M Station Desal requests to p 1012502610</t>
  </si>
  <si>
    <t xml:space="preserve"> Rubber Expansion joint for Je 1012502638</t>
  </si>
  <si>
    <t xml:space="preserve"> 8099-25</t>
  </si>
  <si>
    <t>8101-25</t>
  </si>
  <si>
    <t xml:space="preserve"> 8102-25</t>
  </si>
  <si>
    <t xml:space="preserve"> 8103-25</t>
  </si>
  <si>
    <t xml:space="preserve"> 8104-25</t>
  </si>
  <si>
    <t xml:space="preserve"> 8105-25</t>
  </si>
  <si>
    <t>PR 11712997 RFQ 6000024027 FOR ALVE,COMPRESSOR,UNLOADING,REFNO</t>
  </si>
  <si>
    <t>PR 11702668 - RFQ 6000023984</t>
  </si>
  <si>
    <t>PR 11702658 - RFQ 6000023983</t>
  </si>
  <si>
    <t>PR 11702648 - RFQ 6000023982</t>
  </si>
  <si>
    <t>PR 11702644 - RFQ 6000023981</t>
  </si>
  <si>
    <t>BB/12/12267/2025</t>
  </si>
  <si>
    <t>RFQ-2025-148405 (Supply of Spares (PIPE &amp; PIPE FITTINGS))</t>
  </si>
  <si>
    <t xml:space="preserve"> E STATION - PHASE 1 GAS FUEL 1012502275</t>
  </si>
  <si>
    <t xml:space="preserve">L-Station Desal need to purch 1012502688 </t>
  </si>
  <si>
    <t>E STATION SPARE PARTS, SELF-A 1012502534</t>
  </si>
  <si>
    <t>For Phase 1 Switch Gear 1012502628</t>
  </si>
  <si>
    <t>1-1012502762 Procurement of spare parts</t>
  </si>
  <si>
    <t xml:space="preserve"> L-Station Desal need to purch 1012502737</t>
  </si>
  <si>
    <t>M Station Desal requests to p 1012502746</t>
  </si>
  <si>
    <t>BB/12/12271/2025</t>
  </si>
  <si>
    <t>RFQ-2025-148569 (Supply of Elbow - DP-25E001-0008)</t>
  </si>
  <si>
    <t>8014-25</t>
  </si>
  <si>
    <t>8015-25</t>
  </si>
  <si>
    <t>8016-25</t>
  </si>
  <si>
    <t>8017-25</t>
  </si>
  <si>
    <t>8018-25</t>
  </si>
  <si>
    <t>8019-25</t>
  </si>
  <si>
    <t>PR 11684244 - RFQ 6000024036</t>
  </si>
  <si>
    <t>PR 11702677 - RFQ 6000023985</t>
  </si>
  <si>
    <t>PR 11702678 - RFQ 6000023987</t>
  </si>
  <si>
    <t>PR 11712977 - RFQ 6000024059</t>
  </si>
  <si>
    <t>PR 11712978 - RFQ 6000024058</t>
  </si>
  <si>
    <t>PR 11713002 - RFQ 6000024060</t>
  </si>
  <si>
    <t>BB/12/12272/2025</t>
  </si>
  <si>
    <t>RFQ-2025-148579 (Supply of Reducer - CRI)</t>
  </si>
  <si>
    <t>BB/12/12273/2025</t>
  </si>
  <si>
    <t>RFQ-2025-148575 (Supply of PFF - CRI)</t>
  </si>
  <si>
    <t>BB/12/12274/2025</t>
  </si>
  <si>
    <t>Doc278346059 - PR-0100003699 - RFQ1003580 - O-RING;22340627,ALFA LAVAL, and Repair Kit</t>
  </si>
  <si>
    <t>BB/12/12275/2025</t>
  </si>
  <si>
    <t>Doc280849029 - PR-0100003787 - RFQ1003655 - Control Valves</t>
  </si>
  <si>
    <t>BB/12/12276/2025</t>
  </si>
  <si>
    <t>PR 1000002989 - RFQ 0410000385 - Spares.</t>
  </si>
  <si>
    <t>BB/12/12280/2025</t>
  </si>
  <si>
    <t>PR 1000002862 - RFQ 410000380 - Transition Adaptor.</t>
  </si>
  <si>
    <t>BB/12/12281/2025</t>
  </si>
  <si>
    <t>PR 1000002859 - RFQ 410000381 - Straight Connector.</t>
  </si>
  <si>
    <t>Doc280794872 - PR-0100003776 - RFQ1003651 - Recorder Instrum.</t>
  </si>
  <si>
    <t>BB/12/12279/2025</t>
  </si>
  <si>
    <t>BB/12/12285/2025</t>
  </si>
  <si>
    <t>PR 1000002986 - RFQ 410000398 - Magnetic Valve.</t>
  </si>
  <si>
    <t>8123-25</t>
  </si>
  <si>
    <t>8124-25</t>
  </si>
  <si>
    <t>8125-25</t>
  </si>
  <si>
    <t>8126-25</t>
  </si>
  <si>
    <t>8127-25</t>
  </si>
  <si>
    <t>8128-25</t>
  </si>
  <si>
    <t>8129-25</t>
  </si>
  <si>
    <t>8130-25</t>
  </si>
  <si>
    <t>8131-25</t>
  </si>
  <si>
    <t>8132-25</t>
  </si>
  <si>
    <t>8133-25</t>
  </si>
  <si>
    <t>8134-25</t>
  </si>
  <si>
    <t>8135-25</t>
  </si>
  <si>
    <t>8136-25</t>
  </si>
  <si>
    <t>8139-25</t>
  </si>
  <si>
    <t>8140-25</t>
  </si>
  <si>
    <t>8141-25</t>
  </si>
  <si>
    <t>8142-25</t>
  </si>
  <si>
    <t>8143-25</t>
  </si>
  <si>
    <t>8144-25</t>
  </si>
  <si>
    <t>8145-25</t>
  </si>
  <si>
    <t>8146-25</t>
  </si>
  <si>
    <t>BB/12/12286/2025</t>
  </si>
  <si>
    <t>RFQ Medical Consumables for Base _ PR 11959449</t>
  </si>
  <si>
    <t>BB/12/12288/2025</t>
  </si>
  <si>
    <t>RFQ-2025-148785 (Supply of Spares (PIPE &amp; PIPE FITTINGS))</t>
  </si>
  <si>
    <t>PR 11641956 - RFQ 6000022016</t>
  </si>
  <si>
    <t>PR 11641975 - RFQ 6000022024</t>
  </si>
  <si>
    <t>PR 11653022 - RFQ 6000022729</t>
  </si>
  <si>
    <t>PR 11674420 - RFQ 6000022891</t>
  </si>
  <si>
    <t>PR 11684271 - RFQ 6000023220</t>
  </si>
  <si>
    <t>RFQ  6000024117 for PR 11500078</t>
  </si>
  <si>
    <t>PR 11721825 RFQ 6000024238 FOR COUPLING,SHAFT 65MM X 2 BORE</t>
  </si>
  <si>
    <t>PR 11721875 RFQ 6000024240 FOR GAUGE,PRESSURE 1,2 NPT 4 DIAL</t>
  </si>
  <si>
    <t>PR 11721876 RFQ 6000024241 FOR ATLAS COPCO PARTS</t>
  </si>
  <si>
    <t>PR 11721877 RFQ 6000024242 JACK TRAILER 3000LB CAPACITY</t>
  </si>
  <si>
    <t>PR 11721878 RFQ 6000024243 FOR VALVE,CHECK 2,CLASS 150</t>
  </si>
  <si>
    <t>PR 11721880 RFQ 6000024244 FOR HANGER II ALLOY ASTM A297</t>
  </si>
  <si>
    <t>RFQ 6000024246 - PR 11711278 ROSEMOUNT</t>
  </si>
  <si>
    <t>PR 11721824 - RFQ 6000024268</t>
  </si>
  <si>
    <t>PR 11721859 - RFQ 6000024269</t>
  </si>
  <si>
    <t>RFQ 6000024260 - PR 11712361 Generals</t>
  </si>
  <si>
    <t>RFQ 6000024261 - PR 11712541 ROTEX</t>
  </si>
  <si>
    <t>RFQ 6000024266 - PR 11713700 TRANSMITTER AND VALVE</t>
  </si>
  <si>
    <t>RFQ 6000024273 - PR 11716424 MARENO</t>
  </si>
  <si>
    <t>RFQ 6000024274 - PR 11716896 DEMBLA</t>
  </si>
  <si>
    <t>RFQ 6000024275 - PR 11719364 Valves</t>
  </si>
  <si>
    <t>BB/12/12290/2025</t>
  </si>
  <si>
    <t>RFQ-2025-148902 (Supply of Spares (PIPE &amp; PIPE FITTINGS))</t>
  </si>
  <si>
    <t>8159-25</t>
  </si>
  <si>
    <t>RFQ FOR KITCHEN EQUIPMENT</t>
  </si>
  <si>
    <t>RFQ FOR WATER PUMP</t>
  </si>
  <si>
    <t>8157-25</t>
  </si>
  <si>
    <t>8158-25</t>
  </si>
  <si>
    <t>RFQ FOR AC 2.5 TON</t>
  </si>
  <si>
    <t>BB/12/12291/2025</t>
  </si>
  <si>
    <t>NISSAN TRUCK PARTS</t>
  </si>
  <si>
    <t>BB/12/12292/2025</t>
  </si>
  <si>
    <t>HASKEL BEARINGS</t>
  </si>
  <si>
    <t xml:space="preserve"> 8139-25</t>
  </si>
  <si>
    <t>SHELL QATAR</t>
  </si>
  <si>
    <t>RFQ_FITTINGS AND HOSES FOR LT85 PRECOM PR 11960080 - Event ID: Doc2574809914</t>
  </si>
  <si>
    <t>BB/12/12295/2025</t>
  </si>
  <si>
    <t>BB/12/12297/2025</t>
  </si>
  <si>
    <t>PR 1000002778 - RFQ 410000433 - Coupling.</t>
  </si>
  <si>
    <t xml:space="preserve"> 8163-25</t>
  </si>
  <si>
    <t xml:space="preserve"> 8164-25</t>
  </si>
  <si>
    <t xml:space="preserve"> 8165-25</t>
  </si>
  <si>
    <t>8166-25</t>
  </si>
  <si>
    <t xml:space="preserve"> 8167-25</t>
  </si>
  <si>
    <t xml:space="preserve"> 8168-25</t>
  </si>
  <si>
    <t xml:space="preserve"> 8180-25</t>
  </si>
  <si>
    <t xml:space="preserve"> 8181-25</t>
  </si>
  <si>
    <t xml:space="preserve"> 8183-25</t>
  </si>
  <si>
    <t xml:space="preserve"> 8184-25</t>
  </si>
  <si>
    <t>8182-25</t>
  </si>
  <si>
    <t>6000024342 PR 11721469 BOARD WALL MOUNTE</t>
  </si>
  <si>
    <t>RFQ 6000024440 - PR 11731790 LAB TEST</t>
  </si>
  <si>
    <t>RFQ 6000024434 - PR 11723992 ROSENBAUER</t>
  </si>
  <si>
    <t>RFQ 6000024389 PR 11721857 CAPACITOR NIPPON CHEMI-CON</t>
  </si>
  <si>
    <t>RFQ 6000024349 PR 11721869 DESICCANT ORANGE SILICA GEL STOCK</t>
  </si>
  <si>
    <t>RFQ 6000024448 - PR 11731791 ANTON PAAR</t>
  </si>
  <si>
    <t>PR 11732198 RFQ 6000024470 FOR CHEMICAL WATER TREATMENT EDTA</t>
  </si>
  <si>
    <t>PR 11732189 RFQ 6000024469 FOR DOME,LIGHT PRISMATC,OUTER CLEAR</t>
  </si>
  <si>
    <t>PR 11732178 RFQ 6000024468 FOR TRANSFORMER</t>
  </si>
  <si>
    <t>PR 11732139 RFQ 6000024467 FOR PUMP,WATER</t>
  </si>
  <si>
    <t>Single Stage RFQ 6000113347</t>
  </si>
  <si>
    <t>BB/12/12316/2025</t>
  </si>
  <si>
    <t>RFQ-2025-149101 (Supply of Elbow - CRI)</t>
  </si>
  <si>
    <t>BB/12/12313/2025</t>
  </si>
  <si>
    <t>PR-1000003109-RFQ-0410000459-PBV</t>
  </si>
  <si>
    <t>CECO Environmental</t>
  </si>
  <si>
    <t>BB/12/12314/2025</t>
  </si>
  <si>
    <t>50088 // Tinrhert WTP - Petrofac // RFQ for Chain Pulley block</t>
  </si>
  <si>
    <t>BB/12/12318/2025</t>
  </si>
  <si>
    <t>RFQ-2025-149164 (Supply of Flange - Prologue - CRITICAL)</t>
  </si>
  <si>
    <t>BB/12/12317/2025</t>
  </si>
  <si>
    <t>PR 1000003072 - RFQ 410000483 - Leybold Vacuum</t>
  </si>
  <si>
    <t>PR 4001657439 RFQ 6000113420</t>
  </si>
  <si>
    <t xml:space="preserve"> RFQ 6000113028</t>
  </si>
  <si>
    <t xml:space="preserve"> RFQ 6000113649</t>
  </si>
  <si>
    <t xml:space="preserve"> RFQ 6000114401 for PRs 4001593612 and 4001669914</t>
  </si>
  <si>
    <t>RUSH REQUIREMENT – RFQ 6000114189 (PR 4001653609) - VALVES CONTROL SPARES (MFR DRESSER) (7 ITEMS)</t>
  </si>
  <si>
    <t xml:space="preserve"> 6000114786- FASTENERS-RH3</t>
  </si>
  <si>
    <t>RFQ 6000114644 - Procurement of FASTENERS and HARDWARE - OZ2</t>
  </si>
  <si>
    <t>BB/12/12321/2025</t>
  </si>
  <si>
    <t>RFQ-2025-149198 (Supply of Spares (PIPE &amp; PIPE FITTINGS))</t>
  </si>
  <si>
    <t>BB/12/12323/2025</t>
  </si>
  <si>
    <t>EGA RFQ 6000781033</t>
  </si>
  <si>
    <t>BB/12/10690/2024</t>
  </si>
  <si>
    <t xml:space="preserve"> CS CHAIN 6MM</t>
  </si>
  <si>
    <t>BB/12/12251/2025</t>
  </si>
  <si>
    <t>FOR AIR DIFFUSERS</t>
  </si>
  <si>
    <t>BB/12/12328/2025</t>
  </si>
  <si>
    <t>RFQ-2025-149187 (Supply of Spares (Flanges))</t>
  </si>
  <si>
    <t>BB/12/12334/2025</t>
  </si>
  <si>
    <t>RFQ-2025-149269 (Supply of Spares (FLAT BAR))</t>
  </si>
  <si>
    <t>BB/12/12335/2025</t>
  </si>
  <si>
    <t>PR 1000003108 - RFQ 410000520 - Spider of coupling</t>
  </si>
  <si>
    <t>PROPORTIONAL S. VALVE 1012503095</t>
  </si>
  <si>
    <t>SUPPLY OF SAFETY AND SHUT OFF 1012503167</t>
  </si>
  <si>
    <t xml:space="preserve"> Spare repeater 1012503168</t>
  </si>
  <si>
    <t>CONDUIT_FLEXIBLE 1012502820</t>
  </si>
  <si>
    <t>Ansaldo Generator 1012502926</t>
  </si>
  <si>
    <t>supply of PR Tube &amp; end plate 1012503175</t>
  </si>
  <si>
    <t>Spares 1012503186</t>
  </si>
  <si>
    <t>TYCO CONTROL MODULE 1012503181</t>
  </si>
  <si>
    <t xml:space="preserve"> SIMATIC HMI 1012503092</t>
  </si>
  <si>
    <t>BB-MRO/SA-25/QTN-1003</t>
  </si>
  <si>
    <t>BB-MRO/SA-25/QTN-1006</t>
  </si>
  <si>
    <t>BB-MRO/SA-25/QTN-1007</t>
  </si>
  <si>
    <t>Gopal</t>
  </si>
  <si>
    <t xml:space="preserve"> HYDRAULIC OIL</t>
  </si>
  <si>
    <t>SPIRIT LEVEL</t>
  </si>
  <si>
    <t>DORMER, DRILL</t>
  </si>
  <si>
    <t>BB/12/12342/2025</t>
  </si>
  <si>
    <t>RFQ-2025-149333 (Supply of Flange (DP-FATEHW268P-0006))</t>
  </si>
  <si>
    <t>BB/12/12345/2025</t>
  </si>
  <si>
    <t>PR-0100003905 - RFQ1003765 - Foam Pump (Albany Pumps)</t>
  </si>
  <si>
    <t>BB-MRO/SA-25/QTN-1010</t>
  </si>
  <si>
    <t>PUMP, SEWAGE HORIZONTAL CENTRIFUGAL</t>
  </si>
  <si>
    <t>BB-MRO/SA-25/QTN-1015</t>
  </si>
  <si>
    <t>Molykote MKL Chain Grease Spray</t>
  </si>
  <si>
    <t>BB-MRO/SA-25/QTN-1016</t>
  </si>
  <si>
    <t>DUPONT MOLYKOTE</t>
  </si>
  <si>
    <t>BB-MRO/SA-25/QTN-1017</t>
  </si>
  <si>
    <t>Hand Cleaner Dreumex</t>
  </si>
  <si>
    <t>BB-MRO/SA-25/QTN-1018</t>
  </si>
  <si>
    <t>LUBRICANT &amp; PENETRANT</t>
  </si>
  <si>
    <t>BB/12/12354/2025</t>
  </si>
  <si>
    <t>PR 1000002904 - RFQ 410000359 - Cable for Exciter</t>
  </si>
  <si>
    <t>BTRY_CELL 1012503338</t>
  </si>
  <si>
    <t>Supply of HCO System Spares a 1012503244</t>
  </si>
  <si>
    <t>TIE_CBL;5MM;200MM;NYLON;WHITE 1012503337</t>
  </si>
  <si>
    <t xml:space="preserve">1-FOR MR DIPESH Dipesh Kumar </t>
  </si>
  <si>
    <t>SUPPLY OF SPARES FOR ADAMS VA 1012503293</t>
  </si>
  <si>
    <t xml:space="preserve"> BBMRO/1894/25</t>
  </si>
  <si>
    <t xml:space="preserve"> BBMRO/1895/25</t>
  </si>
  <si>
    <t xml:space="preserve"> Spring Supports</t>
  </si>
  <si>
    <t xml:space="preserve"> 36 / HOSE FITTING - PARKER</t>
  </si>
  <si>
    <t>BB/12/12360/2025</t>
  </si>
  <si>
    <t>PR-1000003223-RFQ-0410000610-BLADE.</t>
  </si>
  <si>
    <t>BB/12/12361/2025</t>
  </si>
  <si>
    <t>PR 1000003077 - RFQ 410000447 - CCPP HRSG 11 and 12 Spares.</t>
  </si>
  <si>
    <t>LPR-1762-Urgent enquiry 4300 BOROUGE_NPB Building</t>
  </si>
  <si>
    <t>BB/12/12363/2025</t>
  </si>
  <si>
    <t>BB/12/12364/2025</t>
  </si>
  <si>
    <t>Doc290505723 - 2PR-0200025770 - RFQ2007762-jacket coverall</t>
  </si>
  <si>
    <t xml:space="preserve">BB/12/12367/2025 </t>
  </si>
  <si>
    <t>Doc290607170 - PR 1000003165-RFQ 0410000638-Relay</t>
  </si>
  <si>
    <t>PAINT 1012503375</t>
  </si>
  <si>
    <t>1-Circuit breaker 1032502780</t>
  </si>
  <si>
    <t>Sensor 1012502947</t>
  </si>
  <si>
    <t>CLMN_CATION 1012503393</t>
  </si>
  <si>
    <t>SPARES 1012503217</t>
  </si>
  <si>
    <t>Tools E-Steam 1172500386</t>
  </si>
  <si>
    <t>ENCLOSURE 1012503422</t>
  </si>
  <si>
    <t>DETECTOR 1012503297</t>
  </si>
  <si>
    <t>Tools 1012503276</t>
  </si>
  <si>
    <t>SEAL 1012503340</t>
  </si>
  <si>
    <t>1- LUCY MOTOR KITS. 1012503268</t>
  </si>
  <si>
    <t>ISOLATOR 1012503395</t>
  </si>
  <si>
    <t>Spare Battery for fire fighti 1012503308</t>
  </si>
  <si>
    <t>SPARES 1012503077</t>
  </si>
  <si>
    <t>BB/12/12381/2025</t>
  </si>
  <si>
    <t>ABK GLP M-0101-A GLP- TR A COMP SUCTION DRUM</t>
  </si>
  <si>
    <t xml:space="preserve">BB/12/12368/2025 </t>
  </si>
  <si>
    <t>PR 1000003187 - RFQ 410000656 - Pipe Stainless Steel.</t>
  </si>
  <si>
    <t>BB/12/12369/2025</t>
  </si>
  <si>
    <t>PR 4000000447 - RFQ 410000653 - Valberg FRS 75 T-EL.</t>
  </si>
  <si>
    <t>ARABIAN INDUSTRIES LLC</t>
  </si>
  <si>
    <t>BB/12/12382/2025</t>
  </si>
  <si>
    <t xml:space="preserve">Doc2619954435 RFQ 6001863397 PR 11963006 </t>
  </si>
  <si>
    <t>BB/12/12386/2025</t>
  </si>
  <si>
    <t>PR-1000002997-RFQ410000683-LCCP GAS TRANSFORMAR.</t>
  </si>
  <si>
    <t>BB/12/12387/2025</t>
  </si>
  <si>
    <t>PR-1000003143-RFQ410000685-COUPLING ELEMENT.</t>
  </si>
  <si>
    <t>Doc290903318 - PR-1000003118-RFQ-410000702-TEST NIPPLE</t>
  </si>
  <si>
    <t>BB/12/12391/2025</t>
  </si>
  <si>
    <t>8209-25</t>
  </si>
  <si>
    <t>PR 11754888 RFQ 6000025165 FOR KIT,ACTUATOR REPAIR-flowserve</t>
  </si>
  <si>
    <t>8210-25</t>
  </si>
  <si>
    <t>PR 11754889 RFQ 6000025166 FOR SWITCH,LEVEL TEMPERATURE</t>
  </si>
  <si>
    <t>8211-25</t>
  </si>
  <si>
    <t>PR 11754932 RFQ 6000025169 FOR ISOLATOR,BEARING</t>
  </si>
  <si>
    <t>8212-25</t>
  </si>
  <si>
    <t>PR 11754933 RFQ 6000025170 FOR VALVE,DIAPHRAGM 3 EPDM DIAPHRAGM</t>
  </si>
  <si>
    <t>8213-25</t>
  </si>
  <si>
    <t>PR 11754934 RFQ 6000025171 FOR BEARING,FLANGE BLOCK</t>
  </si>
  <si>
    <t>8214-25</t>
  </si>
  <si>
    <t>PR 11754936 RFQ 6000025173 FOR OIL TURBINE OIL 208L DRUM</t>
  </si>
  <si>
    <t>8215-25</t>
  </si>
  <si>
    <t>PR 11754937 RFQ 6000025174 FOR KNIFE SAFETY 1000X144X43MM,24MM DP</t>
  </si>
  <si>
    <t>8217-25</t>
  </si>
  <si>
    <t>PR 11754958 RFQ 6000025177 FOR VALVE,BALL</t>
  </si>
  <si>
    <t>8219-25</t>
  </si>
  <si>
    <t>PR 11754962RFQ 6000025179 FOR TRANSISTOR</t>
  </si>
  <si>
    <t>8220-25</t>
  </si>
  <si>
    <t>PR 11754963 RFQ 6000025180 FOR VALVE FOOT 6 ,200PSI CLASS 150</t>
  </si>
  <si>
    <t>8221-25</t>
  </si>
  <si>
    <t>PR 11754964 RFQ 6000025181 FOR KIT VALVE AND VALVE GLOBE</t>
  </si>
  <si>
    <t>8222-25</t>
  </si>
  <si>
    <t>RFQ 6000023670 PR 11696794 MIXER ITEM</t>
  </si>
  <si>
    <t>8223-25</t>
  </si>
  <si>
    <t>RFQ 6000024583 PR 11731968 STATIONERY</t>
  </si>
  <si>
    <t>8224-25</t>
  </si>
  <si>
    <t>RFQ 6000025023 - PR 11741407 Generals</t>
  </si>
  <si>
    <t>8225-25</t>
  </si>
  <si>
    <t>RFQ 6000025158 PR 11754951 PIPE FITTINGS AS PER OXY APPROVED MAKE</t>
  </si>
  <si>
    <t>8227-25</t>
  </si>
  <si>
    <t>RFQ 6000025286 PR 11749344 DIFFUSER</t>
  </si>
  <si>
    <t>8229-25</t>
  </si>
  <si>
    <t>RFQ 6000025290 PR 11756161 BOARD</t>
  </si>
  <si>
    <t>8233-25</t>
  </si>
  <si>
    <t>RFQ 6000025289 PR 11752459 HEAT MITIGATION TOOLS</t>
  </si>
  <si>
    <t>8234-25</t>
  </si>
  <si>
    <t>RFQ 6000025291 PR 11756457 SMART TELEVISION</t>
  </si>
  <si>
    <t>8235-25</t>
  </si>
  <si>
    <t>RFQ 6000025333 - PR 11741359 CHEMICALS</t>
  </si>
  <si>
    <t>8236-25</t>
  </si>
  <si>
    <t>RFQ 6000025334 - PR 11748972 OFFICE SUPPLIES</t>
  </si>
  <si>
    <t>BB/12/12392/2025</t>
  </si>
  <si>
    <t>Doc290902794 - PR-1000003037-RFQ-410000700-ZINC PLATED</t>
  </si>
  <si>
    <t>BB/12/12396/2025</t>
  </si>
  <si>
    <t>PR-0200026214 - RFQ2007886</t>
  </si>
  <si>
    <t>BB/12/12388/2025</t>
  </si>
  <si>
    <t>PR 1000003241 - 410000690 - ST Drain Pump</t>
  </si>
  <si>
    <t>Doc291048661 - PR-0200026241 - RFQ2007900</t>
  </si>
  <si>
    <t>BB/12/12398/2025</t>
  </si>
  <si>
    <t>Doc291093914 - PR-0200026256 - RFQ2007907</t>
  </si>
  <si>
    <t>BB/12/12402/2025</t>
  </si>
  <si>
    <t>BB/12/12403/2025</t>
  </si>
  <si>
    <t>RFQ-2025-149810 (Supply of Pipe &amp; Pipe Fittings)</t>
  </si>
  <si>
    <t>BB/12/12404/2025</t>
  </si>
  <si>
    <t>RFQ-2025-149809 (Supply of Pipe &amp; Pipe Fittings)</t>
  </si>
  <si>
    <t>BB/12/12405/2025</t>
  </si>
  <si>
    <t>PR 1000002263 RFQ 0410000748 LINCOLN ELECTRIC LPS.</t>
  </si>
  <si>
    <t>BB/12/12406/2025</t>
  </si>
  <si>
    <t>REQ 3000001288 RFQ 410000750 Motorized valve.</t>
  </si>
  <si>
    <t>BB/12/12408/2025</t>
  </si>
  <si>
    <t>PR-1000003097-RFQ-0410000754-SPIRAL.</t>
  </si>
  <si>
    <t>BB/12/12409/2025</t>
  </si>
  <si>
    <t>REQ 1000003229 RFQ 410000759 Braided Hose.</t>
  </si>
  <si>
    <t>BB/12/12411/2025</t>
  </si>
  <si>
    <t>Doc290830068 - PR-0100004006 - RFQ1003848 - Misc. Electrical Material</t>
  </si>
  <si>
    <t>BB/12/12410/2025</t>
  </si>
  <si>
    <t xml:space="preserve"> LPS - PR 1000003228 - RFQ 410000766 - Jointing Sheet.</t>
  </si>
  <si>
    <t>BB/12/12412/2025</t>
  </si>
  <si>
    <t>Doc291498079 - PR 1000002837 RFQ 0410000758 HACK SAW KPD</t>
  </si>
  <si>
    <t>BB/12/12413/2025</t>
  </si>
  <si>
    <t>Doc291508745 - REQ 1000003245 RFQ 410000760 Gasket</t>
  </si>
  <si>
    <t>8262-25</t>
  </si>
  <si>
    <t>PR 11754888 RFQ 6000025165 FOR KIT,ACTUATOR REPAIR</t>
  </si>
  <si>
    <t>8265-25</t>
  </si>
  <si>
    <t>Valve 11650296 RFQ 6000024413</t>
  </si>
  <si>
    <t>8268-25</t>
  </si>
  <si>
    <t>RFQ 6000025637 - PR 11764363 GENERALS</t>
  </si>
  <si>
    <t>8271-25</t>
  </si>
  <si>
    <t>RFQ 6000025621 PR 11763731 BATTERY FOR WIRELESS TRANSMITTERS</t>
  </si>
  <si>
    <t>8274-25</t>
  </si>
  <si>
    <t>RFQ 6000025632 - PR 11761845 SHENGLI OILFIELD</t>
  </si>
  <si>
    <t>8277-25</t>
  </si>
  <si>
    <t>PR 11764495 HOSE 6000025642</t>
  </si>
  <si>
    <t>8280-25</t>
  </si>
  <si>
    <t>PR 11764814 - RFQ 6000025561</t>
  </si>
  <si>
    <t>8283-25</t>
  </si>
  <si>
    <t>PR 11764838 - RFQ 6000025564</t>
  </si>
  <si>
    <t>8286-25</t>
  </si>
  <si>
    <t>PR 11765124 - RFQ 6000025567</t>
  </si>
  <si>
    <t>BB/12/12423/2025</t>
  </si>
  <si>
    <t>Doc290418504 - PR-0100003846 - RFQ1003885 - [Urgent] Filters and Spare for Yamaha Outboard Engine</t>
  </si>
  <si>
    <t>BB/12/12422/2025</t>
  </si>
  <si>
    <t>Doc282198258 - PR-0100003817 - RFQ1003689 - Kawasaki Spare-p…</t>
  </si>
  <si>
    <t>BB/12/12458/2025</t>
  </si>
  <si>
    <t>Request for Quotation- Pressure Guage</t>
  </si>
  <si>
    <t>RFQ-2025-150111 (Supply of Spares (FLANGES))</t>
  </si>
  <si>
    <t>BB/12/12459/2025</t>
  </si>
  <si>
    <t>BB/12/12460/2025</t>
  </si>
  <si>
    <t>Doc292298635 - PR-0200026501 - RFQ2007994</t>
  </si>
  <si>
    <t>BB/12/12461/2025</t>
  </si>
  <si>
    <t>Doc291523012 - PR-0200026312 - RFQ2007933</t>
  </si>
  <si>
    <t>REQUEST FOR QUOTATION // CASTORO12 // PR 11964344 // SUPPLY OF FIRE DETCTION DEVICES</t>
  </si>
  <si>
    <t>BB/12/12462/2025</t>
  </si>
  <si>
    <t>BB/12/12464/2025</t>
  </si>
  <si>
    <t>RFQ PR-25-B152-MECH-090 UNIVERSAL SWIVEL FITTINGS FOR GENERAL USE</t>
  </si>
  <si>
    <t>OCEAN OILFIELD DRILLING - ABU DHABI</t>
  </si>
  <si>
    <t>BB/12/12465/2025</t>
  </si>
  <si>
    <t>RFP 6001865597 (ATEX MATERIALS FOR ENTERPRISE)_NFPS Prjct - Event ID: Doc2649319567</t>
  </si>
  <si>
    <t>BB/12/12467/2025</t>
  </si>
  <si>
    <t>PR-0200026620 - RFQ2008024</t>
  </si>
  <si>
    <t>NMDC Energy - e-Procurement - Invitation to Bid - Enquiry No.2025-4337-A</t>
  </si>
  <si>
    <t>2025-4337-A</t>
  </si>
  <si>
    <t>BB/12/12466/2025</t>
  </si>
  <si>
    <t>EXPRESSION OF INTEREST - PR-200022112 - PIPING VALVES</t>
  </si>
  <si>
    <t>BB/12/12469/2025</t>
  </si>
  <si>
    <t>Doc292655505 - PR-0100004055 - RFQ1003941-ELECTRICAL ITEMS</t>
  </si>
  <si>
    <t>BB/12/12470/2025</t>
  </si>
  <si>
    <t>PR-0100004056 - RFQ1003942-ELECTRICAL ITEMS-2 (1)</t>
  </si>
  <si>
    <t>.</t>
  </si>
  <si>
    <t>BB/12/12474/2025</t>
  </si>
  <si>
    <t>8319-25</t>
  </si>
  <si>
    <t>8326-25</t>
  </si>
  <si>
    <t>8330-25</t>
  </si>
  <si>
    <t>PR 11781507 - RFQ 6000026094-eriks</t>
  </si>
  <si>
    <t>PR 11781604 - RFQ 6000026101</t>
  </si>
  <si>
    <t>RFQ 6000026138 - PR 11781214 DAKE</t>
  </si>
  <si>
    <t>BB/12/12476/2025</t>
  </si>
  <si>
    <t>Doc292304845 - PR-0200026582 - RFQ2007992 - MODULE</t>
  </si>
  <si>
    <t>Doc292932687 - PR-0200026278 - RFQ2008050 - TILE</t>
  </si>
  <si>
    <t>BB/12/12477/2025</t>
  </si>
  <si>
    <t>Doc292862654 - PR-0100004081 - RFQ1003972</t>
  </si>
  <si>
    <t>BB/12/12478/2025</t>
  </si>
  <si>
    <t>Doc292929803 - PR-0200026236 - RFQ2008045 - Material</t>
  </si>
  <si>
    <t>BB/12/12479/2025</t>
  </si>
  <si>
    <t>Doc292932672 - PR-0200026499 - RFQ2008049 - VALVE</t>
  </si>
  <si>
    <t>BB/12/12480/2025</t>
  </si>
  <si>
    <t>Doc292871634 - PR-0100004098 - RFQ1003949</t>
  </si>
  <si>
    <t>BB/12/12481/2025</t>
  </si>
  <si>
    <t>Doc292889636 - PR-0100004097 - RFQ1003991</t>
  </si>
  <si>
    <t>BB/12/12482/2025</t>
  </si>
  <si>
    <t>BB/12/12484/2025</t>
  </si>
  <si>
    <t>Doc291093960 - PR-0200026251 - RFQ2007908 - FILTER FLOW</t>
  </si>
  <si>
    <t>BB/12/12485/2025</t>
  </si>
  <si>
    <t>RFQ for Plumbing Accessories - Gate Valves | M/s. Bhatia Brothers FZE</t>
  </si>
  <si>
    <t>ORASCOM CONSTRUCTION</t>
  </si>
  <si>
    <t>REFLECTIVE JACKET 1012503771</t>
  </si>
  <si>
    <t xml:space="preserve"> Spares 1012503709</t>
  </si>
  <si>
    <t>SERVO VALVE 1012503918</t>
  </si>
  <si>
    <t>flow switch for BPST compress 1012503882</t>
  </si>
  <si>
    <t>Spares 1012503906</t>
  </si>
  <si>
    <t>Procurement of Coupling Spider 1012503887</t>
  </si>
  <si>
    <t>Purchase of JNl/THRUST Bearing 1012503932</t>
  </si>
  <si>
    <t>Communications Module 1012504004</t>
  </si>
  <si>
    <t>BB/12/12486/2025</t>
  </si>
  <si>
    <t>Doc292889616 - PR-0100004112 - RFQ1003996 - GAS SENSOR - URGENT</t>
  </si>
  <si>
    <t>BB/12/12487/2025</t>
  </si>
  <si>
    <t>Doc293050960 - PR 1000003171 - RFQ 0410000875 - RTD</t>
  </si>
  <si>
    <t>Doc293048995 - PR 1000003121 - RFQ 0410000870 - Portable Vibration Calibrator</t>
  </si>
  <si>
    <t>BB/12/12488/2025</t>
  </si>
  <si>
    <t>Doc292927262 - LPS - PR 1000003320 - RFQ 410000858 - Threaded Bar</t>
  </si>
  <si>
    <t>BB/12/12489/2025</t>
  </si>
  <si>
    <t>BB/12/12490/2025</t>
  </si>
  <si>
    <t>Doc293052892 - PR 1000003177 - RFQ 0410000876 - CCGT spares</t>
  </si>
  <si>
    <t>PR 1000003186 - RFQ 0410000884 - Booster Pump.</t>
  </si>
  <si>
    <t>BB/12/12492/2025</t>
  </si>
  <si>
    <t xml:space="preserve"> PR 1000003181 - RFQ 0410000882 - Water Pump.</t>
  </si>
  <si>
    <t>BB/12/12494/2025</t>
  </si>
  <si>
    <t>PR 1000003276 - RFQ 0410000885 - Mechanical Seal.</t>
  </si>
  <si>
    <t>BB/12/12495/2025</t>
  </si>
  <si>
    <t>Doc293333463 - PR 1000003182 - RFQ 0410000883 - WP Horizontal Centri</t>
  </si>
  <si>
    <t>BB/12/12496/2025</t>
  </si>
  <si>
    <t>BB/12/12497/2025</t>
  </si>
  <si>
    <t>Doc293087484 - PR 1000003216 - RFQ 0410000879 - valve</t>
  </si>
  <si>
    <t>BB/12/12498/2025</t>
  </si>
  <si>
    <t>Doc292478539 - REQ 1000003285 RFQ 410000819 GRP Enclosures</t>
  </si>
  <si>
    <t>BB/12/12493/2025</t>
  </si>
  <si>
    <t>LPS - PR 1000003319 - RFQ 410000857 - Aerosol WD40</t>
  </si>
  <si>
    <t>8340-25</t>
  </si>
  <si>
    <t>8343-25</t>
  </si>
  <si>
    <t>8346-25</t>
  </si>
  <si>
    <t>8349-25</t>
  </si>
  <si>
    <t>RFQ 6000026405 PR 11793075 (PRESSURE GAUGE)</t>
  </si>
  <si>
    <t>RFQ 6000026477 - PR 11788740 FITTINGS</t>
  </si>
  <si>
    <t>PR 11764831 RFQ 6000025364 FOR SHAFT PFS INJECTION QUILL 6 OAL</t>
  </si>
  <si>
    <t>PR 11789105 - RFQ 6000026430</t>
  </si>
  <si>
    <t>BB/12/12516/2025</t>
  </si>
  <si>
    <t>GRINDING DISC, FLAP DISC.</t>
  </si>
  <si>
    <t>BB/12/12514/2025</t>
  </si>
  <si>
    <t>Doc293496831 - PR-0100004074 - RFQ1004004</t>
  </si>
  <si>
    <t>Supply Of Ejector condensate 1012503921</t>
  </si>
  <si>
    <t>PURCHASE OF NISSAN SPARE PART 1012503779</t>
  </si>
  <si>
    <t>Instrument Spares 1012503965</t>
  </si>
  <si>
    <t>multiplexer and Fiber optic 1012504046</t>
  </si>
  <si>
    <t>BB/12/12528/2025</t>
  </si>
  <si>
    <t>Doc293877583 - 200026134 - RFQ2007862 - KHRONE 2</t>
  </si>
  <si>
    <t>BB/12/12529/2025</t>
  </si>
  <si>
    <t>Doc292882560 - PR-0100004107 - RFQ1003998</t>
  </si>
  <si>
    <t>8364-25</t>
  </si>
  <si>
    <t>8367-25</t>
  </si>
  <si>
    <t>8370-25</t>
  </si>
  <si>
    <t>8373-25</t>
  </si>
  <si>
    <t>RFQ 6000026635 - PR 11796400 TOOLS</t>
  </si>
  <si>
    <t>RFQ 6000026638 - PR 11798492 ELECTRICAL EQPT</t>
  </si>
  <si>
    <t>RFQ 6000026641 - PR 11803870 ROSEMOUNT</t>
  </si>
  <si>
    <t>RFQ 6000026645 - PR 11796397 BFW PUMP HYDRAULIC TOOLS</t>
  </si>
  <si>
    <t>BB/12/12534/2025</t>
  </si>
  <si>
    <t>Doc293976796 - PR-0200026887 - RFQ2008102 - FILTER PANEL</t>
  </si>
  <si>
    <t xml:space="preserve"> Regulator Valve 1012504073</t>
  </si>
  <si>
    <t>Bearings 1012504041</t>
  </si>
  <si>
    <t>L-Station Desal need to purch 1012504198</t>
  </si>
  <si>
    <t>M Station Desal requests to p 1012504174</t>
  </si>
  <si>
    <t>Procurement of manual isolati 1012504204</t>
  </si>
  <si>
    <t>BB/12/12539/2025</t>
  </si>
  <si>
    <t>Doc294005355 - PR-200022115 - RFQ2008108</t>
  </si>
  <si>
    <t>BB/12/12542/2025</t>
  </si>
  <si>
    <t>SNAPON TOOLS</t>
  </si>
  <si>
    <t>BB/12/12543/2025</t>
  </si>
  <si>
    <t>Doc294171870 - PR-0200026954 - RFQ2008122 - YAMAHA 150HP</t>
  </si>
  <si>
    <t>BB/12/12544/2025</t>
  </si>
  <si>
    <t>Doc294047673 - PR-0100004143 - RFQ1004007</t>
  </si>
  <si>
    <t>BB/12/12545/2025</t>
  </si>
  <si>
    <t>Doc294045309 - PR-0100004149 - RFQ1004032</t>
  </si>
  <si>
    <t>BB/12/12546/2025</t>
  </si>
  <si>
    <t>Doc294012233 - PR-0100004146 - RFQ1004020</t>
  </si>
  <si>
    <t>BB/12/12547/2025</t>
  </si>
  <si>
    <t xml:space="preserve">Doc294116553 - PR-0100004158 - RFQ1004034
</t>
  </si>
  <si>
    <t>BB/12/12552/2025</t>
  </si>
  <si>
    <t>PR 11966386- BO FOR SUPPLY OF PIPING AND STRUCTURAL MATERIALS - Event ID: Doc2681640666</t>
  </si>
  <si>
    <t>Single Stage RFP-6000119869</t>
  </si>
  <si>
    <t>6000119964 - LA6</t>
  </si>
  <si>
    <t>BB/12/12556/2025</t>
  </si>
  <si>
    <t>Bidding Job- Replacement of Heat Exchangers | ADNOC LNG | DAS Island | Piping Materials</t>
  </si>
  <si>
    <t>DESCON</t>
  </si>
  <si>
    <t>8398-25</t>
  </si>
  <si>
    <t>8402-25</t>
  </si>
  <si>
    <t>8405-25</t>
  </si>
  <si>
    <t>PR 11799811 - RFQ 6000026719-enfab</t>
  </si>
  <si>
    <t>PR 11799843 - RFQ 6000026836</t>
  </si>
  <si>
    <t>PR 11799875 - RFQ 6000026839</t>
  </si>
  <si>
    <t xml:space="preserve"> L-Station Desal need to purch 1012504286</t>
  </si>
  <si>
    <t xml:space="preserve"> Fire-Fighting System Spares 1012504235</t>
  </si>
  <si>
    <t>Spare cable 1012504229</t>
  </si>
  <si>
    <t>UPVC Swing Check Valve for Al 1012504304</t>
  </si>
  <si>
    <t xml:space="preserve"> Modbus converter 1012504272</t>
  </si>
  <si>
    <t xml:space="preserve"> Spares 1012504246</t>
  </si>
  <si>
    <t>BB/12/12563/2025</t>
  </si>
  <si>
    <t>required Estimated CYSCAN quotation</t>
  </si>
  <si>
    <t>Prestige Engineering</t>
  </si>
  <si>
    <t>Elaine Dalisay</t>
  </si>
  <si>
    <t>BB/12/12577/2025</t>
  </si>
  <si>
    <t>LZ C-503 Bundle Changeout _Flex Connection for LP NDE Bearing Drain</t>
  </si>
  <si>
    <t>BB/12/12580/2025</t>
  </si>
  <si>
    <t>Doc295102670 - 3 - PR-200024433 - RFQ2007290 - TOOLS MISC</t>
  </si>
  <si>
    <t xml:space="preserve"> ITM O&amp;M.</t>
  </si>
  <si>
    <t>M Station Desal requests to p 1012504428</t>
  </si>
  <si>
    <t>Capacitor for AC-DC System 1012504401</t>
  </si>
  <si>
    <t xml:space="preserve"> Sealed battery 1012504409</t>
  </si>
  <si>
    <t xml:space="preserve"> Material PR for D-ST(Supply o 1012504337</t>
  </si>
  <si>
    <t>BATTERY CHARGER 1012504426</t>
  </si>
  <si>
    <t>  821.70</t>
  </si>
  <si>
    <t>BB/12/12555/2025</t>
  </si>
  <si>
    <t>JUMBO BAGS.</t>
  </si>
  <si>
    <t>BB/12/12587/2025</t>
  </si>
  <si>
    <t>Doc295179482 - PR-0100004177 - RFQ1004071</t>
  </si>
  <si>
    <t>BB/12/12591/2025</t>
  </si>
  <si>
    <t>Doc295545537 - PR 10000962 - RFQ 0410001064 - electrical spares</t>
  </si>
  <si>
    <t>RFQ 6000121292</t>
  </si>
  <si>
    <t xml:space="preserve"> RFQ - 6000121186</t>
  </si>
  <si>
    <t>6000121258-PILOT VALVE (WOR)-RV9</t>
  </si>
  <si>
    <t>RFQ 6000120346-PR4001715798-SA4</t>
  </si>
  <si>
    <t>REPLENISHMENT OF PIPES, HOSE, INSERT, FOR MDPE BRASS CONNECTOR - Expression of Interest</t>
  </si>
  <si>
    <t>TAQA Distribution Company (TAQADC)</t>
  </si>
  <si>
    <t>FIRE PMP 1012504576</t>
  </si>
  <si>
    <t>BOARD_PRNTD 1012504575</t>
  </si>
  <si>
    <t xml:space="preserve"> DETECTOR 1012504610</t>
  </si>
  <si>
    <t>COLOSSAL VALVE 1012504564</t>
  </si>
  <si>
    <t>Stroke monitoring sensor for 1012504616</t>
  </si>
  <si>
    <t xml:space="preserve"> Switch Pressure 1012504602</t>
  </si>
  <si>
    <t>VLV_CHECK;SWING;For further d 1012504643</t>
  </si>
  <si>
    <t>BB/12/12582/2025</t>
  </si>
  <si>
    <t>TECHNOMAK</t>
  </si>
  <si>
    <t>BB/12/12604/2025</t>
  </si>
  <si>
    <t>RFQ-2025-187709 (Supply of Support Springs - DP-24SUNEBOP01-0374)</t>
  </si>
  <si>
    <t>BB/12/12609/2025</t>
  </si>
  <si>
    <t>Doc294168777 - PR-0100004166 - RFQ1004041 FILTER</t>
  </si>
  <si>
    <t>BB/12/12612/2025</t>
  </si>
  <si>
    <t>Qatar Energy LNG</t>
  </si>
  <si>
    <t>BB/12/12613/2025</t>
  </si>
  <si>
    <t>BB/12/12614/2025</t>
  </si>
  <si>
    <t>Chilled Water Valves- Construction of Qatar Energy Wellness Centre at West Bay</t>
  </si>
  <si>
    <t>6000121854-SEAMLESS PIPE (CS)-RV9</t>
  </si>
  <si>
    <t xml:space="preserve"> EOI LTPA for Carbon Brush PR 10182403</t>
  </si>
  <si>
    <t xml:space="preserve"> Source Event 222_RFQ 6000122036 SUPPLY OF SPECIAL TOOLS FOR RSI CMS</t>
  </si>
  <si>
    <t xml:space="preserve"> RFQ-6000121786 (BOR PR4001726666)</t>
  </si>
  <si>
    <t xml:space="preserve"> RFQ 6000121956 supply of SWITCH PR ADJSTBL (PR-4001685877) TA6</t>
  </si>
  <si>
    <t xml:space="preserve"> PR 4001715495 ,RFQ 6000121764 Purchase Lab consumables</t>
  </si>
  <si>
    <t xml:space="preserve"> RFQ 6000122051, PR 4001729491, COMPRESSORS - RECIPR- DB3</t>
  </si>
  <si>
    <t xml:space="preserve"> RFQ 6000121848</t>
  </si>
  <si>
    <t>RELAY 1012504813</t>
  </si>
  <si>
    <t>SPARES 1012504743</t>
  </si>
  <si>
    <t>MOTOR 1012504736</t>
  </si>
  <si>
    <t>1-REPAIR KIT FOR D-PH2 NGPRS 1012504487</t>
  </si>
  <si>
    <t>VALVE_FLOAT; 1012504642</t>
  </si>
  <si>
    <t>ABB DCS I/O Modules 1012504679</t>
  </si>
  <si>
    <t>TIRES. 1012504774</t>
  </si>
  <si>
    <t>Supply Of NOx, DFO &amp; Wet Comp 1012504752</t>
  </si>
  <si>
    <t>Supply of accumulator bladder 1012504754</t>
  </si>
  <si>
    <t>POWER SUPPLY 1012504640</t>
  </si>
  <si>
    <t>Batteries 1012504732</t>
  </si>
  <si>
    <t>Filter Oil 1012504591</t>
  </si>
  <si>
    <t>GEAR BOX SPARES 1012504503</t>
  </si>
  <si>
    <t>BB/12/12622/2025</t>
  </si>
  <si>
    <t>PR-1000003239-RFQ-0410000862-THREATED PLUG.</t>
  </si>
  <si>
    <t>JAPS L1-STATION - EXHAUST DIF 1012504792</t>
  </si>
  <si>
    <t>ACCUMULATOR SAFETY BLOCK FOR 1012504819</t>
  </si>
  <si>
    <t>HP header isolation MOV actua 1012504711</t>
  </si>
  <si>
    <t>Material PR for D-ST (Supply 1012504735</t>
  </si>
  <si>
    <t>Battery for BSDG 1012504794</t>
  </si>
  <si>
    <t>Material PR for D-ST (Supply 1012504737</t>
  </si>
  <si>
    <t>L2 Station - Valve Seat seals 1012504803</t>
  </si>
  <si>
    <t>Complete Set of Hydraulic Cyl 1012504806</t>
  </si>
  <si>
    <t>Technomak</t>
  </si>
  <si>
    <t>CAPE EAST LIMITED</t>
  </si>
  <si>
    <t>ADOC JAPAN</t>
  </si>
  <si>
    <t>6000122835 - LA6</t>
  </si>
  <si>
    <t>6000122856 - LA6</t>
  </si>
  <si>
    <t>PR 4001672765 RFQ 6000122637</t>
  </si>
  <si>
    <t>RFQ6000122340Single Stage RFP</t>
  </si>
  <si>
    <t>6000122146-CV SPARES-RH3</t>
  </si>
  <si>
    <t>PR 10193654 RFQ 6000122829 Proc. of Breathing Apparatus</t>
  </si>
  <si>
    <t>RFQ 6000121639 - NE4 (NEW)</t>
  </si>
  <si>
    <t>RFQ-6000122865 (BOR PR4001713274 LO)</t>
  </si>
  <si>
    <t>6000122817-GASKET-RH3</t>
  </si>
  <si>
    <t>RFQ 6000122771, PR 4001727207, COMPRESSORS - CENTRI- DB3</t>
  </si>
  <si>
    <t>6000122910 P24 CHICAGO PNEUMATIC 3500 4001723024</t>
  </si>
  <si>
    <t>RFQ 6000122819 (PR 4001593422) – ENERPROJECT AND HANBELL SPARE PARTS (5 ITEMS)</t>
  </si>
  <si>
    <t>RUSH REQUIREMENT - RFQ 6000122451(PR 4001674983) – COMPRESSION 3RD STAGE AND FULL ASSEMBLY (MFR ISHIKAWAJIMA) (1 ITEM)</t>
  </si>
  <si>
    <t>Source Event 227_RFQ 6000122370 SUPPLY OF ARMATURY SPARES</t>
  </si>
  <si>
    <t>6000122165-SOULTION LABORATORY-RV7</t>
  </si>
  <si>
    <t>RFQ 6000122805</t>
  </si>
  <si>
    <t>6000122380 P24 ASCO JOUMATIC CV 3500 TAR 4001685434</t>
  </si>
  <si>
    <t xml:space="preserve">BB/12/12632/2025 </t>
  </si>
  <si>
    <t>Batch -4 ,RFQ # 201209-794- Supply of HSE Items for Turkmenistan Project</t>
  </si>
  <si>
    <t>Petrofac International UAE LLC</t>
  </si>
  <si>
    <t>BB/12/12634/2025</t>
  </si>
  <si>
    <t>Doc296702733 - PR-0200027486 - RFQ2008353 - PUMP</t>
  </si>
  <si>
    <t>BB/12/12637/2025</t>
  </si>
  <si>
    <t>Doc296255994 - PR-0100004201 - RFQ1004087</t>
  </si>
  <si>
    <t>Hydraulic tools for D repower 1012504742</t>
  </si>
  <si>
    <t>INSLTN_B5XX;THRML;ROCKWOOL;BL 1012504877</t>
  </si>
  <si>
    <t>Spare doing pumps 1012504884</t>
  </si>
  <si>
    <t>PAINT PRIMER 1012503982</t>
  </si>
  <si>
    <t>Compressor and Fire System 1012504477</t>
  </si>
  <si>
    <t>Spare DP transmitters 1012504869</t>
  </si>
  <si>
    <t>Spares for DCS T-3000 1012504544</t>
  </si>
  <si>
    <t>Water Heaters and Fans 1012504873</t>
  </si>
  <si>
    <t>H2&amp;H3 Tools 1012504589</t>
  </si>
  <si>
    <t>Procurement of hand tools for 1012504891</t>
  </si>
  <si>
    <t>Clo2 Reactor for chlorine dio 1012504824</t>
  </si>
  <si>
    <t>   2012504517</t>
  </si>
  <si>
    <t>1-D-PH2 APH - COMPLETE ROTOR 1012504757</t>
  </si>
  <si>
    <t>Menasco Mech. Contracting, (L.L.C.)</t>
  </si>
  <si>
    <t>TPE- 628</t>
  </si>
  <si>
    <t>Sid</t>
  </si>
  <si>
    <t>Enquiry for Stainless steel pipes</t>
  </si>
  <si>
    <t>G Station BPST Oil purifier s 1012504930</t>
  </si>
  <si>
    <t>GLOBE VALVES FOR STEAM AND WA 1012504968</t>
  </si>
  <si>
    <t>Supply PR (Supply of D-REP IA 1012504943</t>
  </si>
  <si>
    <t>LPS-STOCK ITEM PR FOR ENERGY 1012504770</t>
  </si>
  <si>
    <t>SPARES 1012504729</t>
  </si>
  <si>
    <t>SPARES 1012504868</t>
  </si>
  <si>
    <t>RFQ 6000122059 For BREATHING APPARATUS FOR ADNOC GAS</t>
  </si>
  <si>
    <t>RFQ (ss-ADNOC GAS) 6000121751- Lab Material</t>
  </si>
  <si>
    <t>RFP 6000123023 - KIT,RPR</t>
  </si>
  <si>
    <t>LNG Al Hamra (81D9) PR 4001704467 - RFQ 6000117089 - Boiler Burner Tips - Volcano</t>
  </si>
  <si>
    <t>RFP6000122897</t>
  </si>
  <si>
    <t>RFQ 6000123647 supply of ELEMENT FLTR (PR-4001700194) TA6</t>
  </si>
  <si>
    <t>6000123515 - SEPARATORS - P26</t>
  </si>
  <si>
    <t>BB/12/12653/2025</t>
  </si>
  <si>
    <t>Doc296086040 - PR-0100004202 - RFQ1004079</t>
  </si>
  <si>
    <t>STUD_DBL ENDED;M14;2MM;M14;2M 1012504966</t>
  </si>
  <si>
    <t>Spares 1012504801</t>
  </si>
  <si>
    <t>spare Current Transformers 1012504720</t>
  </si>
  <si>
    <t>Spares 1012504809</t>
  </si>
  <si>
    <t>Insurance Spares 1012504935</t>
  </si>
  <si>
    <t>Bearing for ABB make BRP Moto 1012504905</t>
  </si>
  <si>
    <t>YOKOGAWA Flow- Level Txs for 1012504871</t>
  </si>
  <si>
    <t>Electrofusion fittings for Ha 1012505052</t>
  </si>
  <si>
    <t>Material for DPE- 1012504947</t>
  </si>
  <si>
    <t>COMP 1012504183</t>
  </si>
  <si>
    <t>BB/12/12654/2025</t>
  </si>
  <si>
    <t>Doc297194935 - PR-0100004233 - RFQ1004102</t>
  </si>
  <si>
    <t>BB/12/12655/2025</t>
  </si>
  <si>
    <t>Doc297235648 - PR-0100004234 - RFQ1004098</t>
  </si>
  <si>
    <t>BB/12/12656/2025</t>
  </si>
  <si>
    <t>Doc297431331 - PR-0100004239 - RFQ1004113</t>
  </si>
  <si>
    <t>BB/12/12664/2025</t>
  </si>
  <si>
    <t>BB/12/12662/2025</t>
  </si>
  <si>
    <t>BB/12/12666/2025</t>
  </si>
  <si>
    <t>BB/12/12668/2025</t>
  </si>
  <si>
    <t>PR 1000003483 - RFQ 0410001248 - Tools.</t>
  </si>
  <si>
    <t>PR 1000002900 - RFQ 410000335 - HVAC</t>
  </si>
  <si>
    <t>PR-0100004242 - RFQ1004117-PLATES</t>
  </si>
  <si>
    <t>PR 1000002835 - RFQ 410000286 - HVAC Parts.</t>
  </si>
  <si>
    <t>BB/12/12672/2025</t>
  </si>
  <si>
    <t>Doc297612321 - PR-0100004241 - RFQ1004116</t>
  </si>
  <si>
    <t>BB/12/12673/2025</t>
  </si>
  <si>
    <t>MARKET SURVEY - Spare parts for Atlas Copco generators</t>
  </si>
  <si>
    <t>BB/12/12682/2025</t>
  </si>
  <si>
    <t>BB/12/12684/2025</t>
  </si>
  <si>
    <t>Doc297226814 - PR-0200027626 - RFQ2008424 - VALVES</t>
  </si>
  <si>
    <t>BB/12/12685/2025</t>
  </si>
  <si>
    <t>Doc296738039 - PR-0200027465 - RFQ2008351 - HVAC FILTER</t>
  </si>
  <si>
    <t>BB/12/12686/2025</t>
  </si>
  <si>
    <t xml:space="preserve"> HONEYWELL - Module field termination assy</t>
  </si>
  <si>
    <t>BB/12/12689/2025</t>
  </si>
  <si>
    <t>Doc298264122 - LPS-1000003604-410001287-TOOLS</t>
  </si>
  <si>
    <t>BB/12/12693/2025</t>
  </si>
  <si>
    <t>Doc298283527 - PR 1000003468 - RFQ 0410001251 - Spares</t>
  </si>
  <si>
    <t>Doc298289904 - PR 1000003471 - RFQ 0410001293 - Electrical</t>
  </si>
  <si>
    <t>BB/12/12710/2025</t>
  </si>
  <si>
    <t>KPS-1000003624-410001288-SPARE PARTS.</t>
  </si>
  <si>
    <t>BB/12/12711/2025</t>
  </si>
  <si>
    <t>Doc298605379 - PR 1000003564 - RFQ 0410001308 - spares</t>
  </si>
  <si>
    <t>BB/12/12694/2025</t>
  </si>
  <si>
    <t>Single Stage RFP-6000124540-Paint</t>
  </si>
  <si>
    <t>Single Stage RFQ 6000123079</t>
  </si>
  <si>
    <t>RFQ 6000124948 (TAR - RR- Refining) -SPARES FOR MFR KOCH</t>
  </si>
  <si>
    <t>RFQ 6000124833</t>
  </si>
  <si>
    <t>Procurement of Electrical Spares-6000124044-RB9</t>
  </si>
  <si>
    <t>RFQ 6000125156-PG 325224</t>
  </si>
  <si>
    <t>RFQ 6000124531 - SEAL,ELEMENT</t>
  </si>
  <si>
    <t>BB/12/12724/2025</t>
  </si>
  <si>
    <t>Doc298884392 - PR 1000003596 - RFQ 0410001362 - Spares</t>
  </si>
  <si>
    <t>BB/12/12726/2025</t>
  </si>
  <si>
    <t>Doc290309559 - PR 1000003123 RFQ 0410000594 SHAFT WEARING LPS</t>
  </si>
  <si>
    <t>BB/12/12713/2025</t>
  </si>
  <si>
    <t>DE HUMIDIFIER FILTER</t>
  </si>
  <si>
    <t>BB/12/12727/2025</t>
  </si>
  <si>
    <t>Doc298578591 - PR 1000003524 - RFQ 0410001301 - Battery</t>
  </si>
  <si>
    <t>BB/12/12728/2025</t>
  </si>
  <si>
    <t>Doc298558061 - PR 1000003515 - RFQ 0410001296 - Electrical Items</t>
  </si>
  <si>
    <t>BB/12/12729/2025</t>
  </si>
  <si>
    <t>Doc298558035 - PR 1000003510 - RFQ 0410001295 - Consumables</t>
  </si>
  <si>
    <t>BB/12/12753/2025</t>
  </si>
  <si>
    <t>Doc299377789 - PR 1000003672 - RFQ 410001390 - SS BOLT</t>
  </si>
  <si>
    <t>BB/12/12754/2025</t>
  </si>
  <si>
    <t>Doc299384602 - PR 1000003639 - RFQ 0410001397 - Air Pump</t>
  </si>
  <si>
    <t>Doc298629103 - PR-0100004249 - RFQ1004132</t>
  </si>
  <si>
    <t>BB/12/12757/2025</t>
  </si>
  <si>
    <t>BB/12/12758/2025</t>
  </si>
  <si>
    <t>Doc298177473 - PR-0100004243 - RFQ1004119 - Parkr</t>
  </si>
  <si>
    <t>BB/12/12772/2025</t>
  </si>
  <si>
    <t>Doc299572859 - PR 1000003683 - RFQ 0410001438 - CCGT Spares</t>
  </si>
  <si>
    <t>Doc298750761 - PR-0100004270 - RFQ1004137</t>
  </si>
  <si>
    <t xml:space="preserve"> BB/12/12759/2025</t>
  </si>
  <si>
    <t>BB/12/12776/2025</t>
  </si>
  <si>
    <t>Doc298735006 - PR-0200027415 - RFQ2008627-electrical</t>
  </si>
  <si>
    <t>1-Female coupler 1012505299</t>
  </si>
  <si>
    <t>1-Flow meter 1012505452</t>
  </si>
  <si>
    <t>E STATION MMD DESAL; CHECK VA 1012505420</t>
  </si>
  <si>
    <r>
      <t>CPVC items &amp; PVDF tube &amp;</t>
    </r>
    <r>
      <rPr>
        <sz val="12"/>
        <color rgb="FF000000"/>
        <rFont val="Trebuchet MS"/>
        <family val="2"/>
      </rPr>
      <t> </t>
    </r>
    <r>
      <rPr>
        <sz val="12"/>
        <color rgb="FF000000"/>
        <rFont val="Tahoma"/>
        <family val="2"/>
      </rPr>
      <t>fitt 1012505520</t>
    </r>
  </si>
  <si>
    <r>
      <t>Supplying Pall Rings for the</t>
    </r>
    <r>
      <rPr>
        <sz val="12"/>
        <color rgb="FF000000"/>
        <rFont val="Trebuchet MS"/>
        <family val="2"/>
      </rPr>
      <t> </t>
    </r>
    <r>
      <rPr>
        <sz val="12"/>
        <color rgb="FF000000"/>
        <rFont val="Tahoma"/>
        <family val="2"/>
      </rPr>
      <t>1012505200</t>
    </r>
  </si>
  <si>
    <r>
      <t>Supply of Gearbox assembly fo</t>
    </r>
    <r>
      <rPr>
        <sz val="12"/>
        <color rgb="FF000000"/>
        <rFont val="Trebuchet MS"/>
        <family val="2"/>
      </rPr>
      <t> </t>
    </r>
    <r>
      <rPr>
        <sz val="12"/>
        <color rgb="FF000000"/>
        <rFont val="Tahoma"/>
        <family val="2"/>
      </rPr>
      <t>1012505429</t>
    </r>
  </si>
  <si>
    <t>BB/12/12792/2025</t>
  </si>
  <si>
    <t>BB/12/12791/2025</t>
  </si>
  <si>
    <t>Doc299609049 - PR 1000003665 RFQ 0410001447 Globe valve bonnet LPS</t>
  </si>
  <si>
    <t>RFI // 7629363 7629363 // ADDITEL PUMP &amp; AMETEK COMPATATOR</t>
  </si>
  <si>
    <t>BB/12/12793/2025</t>
  </si>
  <si>
    <t>Doc299406999 - REQ 1000003645 RFQ 410001401 S.S SHIM</t>
  </si>
  <si>
    <t>DRYDOCKS</t>
  </si>
  <si>
    <t>Wire Rope Required for Crane 1012505527</t>
  </si>
  <si>
    <t>I&amp;C Spares 1012505403</t>
  </si>
  <si>
    <t>Spare LVDT 1012505441</t>
  </si>
  <si>
    <t>SW_PRS;DW40DS 1012505440</t>
  </si>
  <si>
    <t>SPARE ANEMOMETERS 1012505428</t>
  </si>
  <si>
    <t>Controller 1012505461</t>
  </si>
  <si>
    <t>CABLE;ELECT 1012505468</t>
  </si>
  <si>
    <t>G MST: IAC Spares 1012505511</t>
  </si>
  <si>
    <t>E STATION - PHASE 2; SPARE PA 1012505537</t>
  </si>
  <si>
    <t>DD-2025 spare procurement Lab 1012505413</t>
  </si>
  <si>
    <t>E-STATION CCST6 HP INTERMEDIA 1012505544</t>
  </si>
  <si>
    <t>Filter oil SPARE PARTS 1012505632</t>
  </si>
  <si>
    <t>PAINE 1012505531</t>
  </si>
  <si>
    <t>Vacuum gauge 1012505523</t>
  </si>
  <si>
    <t>Bellow Supply</t>
  </si>
  <si>
    <t>BB/12/12798/2025</t>
  </si>
  <si>
    <t>Doc300299521 - PR 1000003667 - RFQ 410001494 - Pump</t>
  </si>
  <si>
    <t>BB/12/12801/2025</t>
  </si>
  <si>
    <t>BB/12/12803/2025</t>
  </si>
  <si>
    <t>Supply of Gasket for MERAM SP 04 Project</t>
  </si>
  <si>
    <t>PETROJET</t>
  </si>
  <si>
    <t>BB/12/12804/2025</t>
  </si>
  <si>
    <t>Doc299978591 - PR-0100004297 - RFQ1004182 - Stock</t>
  </si>
  <si>
    <t>BB/12/12805/2025</t>
  </si>
  <si>
    <t>Doc299993144 - PR-0100004319 - RFQ1004174 - Stock</t>
  </si>
  <si>
    <t>BB/12/12806/2025</t>
  </si>
  <si>
    <t>Doc300009955 - PR-0100004310 - RFQ1004167 - stock</t>
  </si>
  <si>
    <t>BB/12/12822/2025</t>
  </si>
  <si>
    <t>PR 1000003721 - RFQ 0410001522 - RO Vessel Spares</t>
  </si>
  <si>
    <t>BB/12/12825/2025</t>
  </si>
  <si>
    <t>PR 1000003694 - RFQ 0410001519 - Pressure Switch.</t>
  </si>
  <si>
    <t>BB/12/12826/2025</t>
  </si>
  <si>
    <t>PR 1000003165-RFQ 0410000638-Relay End Date Reminder</t>
  </si>
  <si>
    <t>BB/12/12853/2025</t>
  </si>
  <si>
    <t>Request for quotation- PR 50163- Lifting related items</t>
  </si>
  <si>
    <t>BB/12/12823/2025</t>
  </si>
  <si>
    <t>PR 1000003719 - RFQ 0410001521 - Hilti Machine.</t>
  </si>
  <si>
    <t>BB/12/12831/2025</t>
  </si>
  <si>
    <t>PR-200020086 - RFQ2008013 - WELL SERVICES ASEP UNIT ENGINE</t>
  </si>
  <si>
    <t>BB/12/12832/2025</t>
  </si>
  <si>
    <t>der # 1999/MZM/2025 Supply of Fitting &amp; Stud Bolts for LNG Preconditioning Plant Project ( LPP )</t>
  </si>
  <si>
    <t>BB/12/12833/2025</t>
  </si>
  <si>
    <t>PR-0100004219 - RFQ1004101-Stock ATLAS COPCO SPARES</t>
  </si>
  <si>
    <t>BB/12/12834/2025</t>
  </si>
  <si>
    <t>PR-0100004057 - RFQ1003989-Stock CAT SPARES</t>
  </si>
  <si>
    <t>BB/12/12835/2025</t>
  </si>
  <si>
    <t>PR-0200026629 - RFQ2008011</t>
  </si>
  <si>
    <t>BB/12/12837/2025</t>
  </si>
  <si>
    <t>BB/12/12855/2025</t>
  </si>
  <si>
    <t>Doc291476644 - PR-1000003249-RFQ-0410000755-SHEET PLAIN</t>
  </si>
  <si>
    <t>BB/12/12856/2025</t>
  </si>
  <si>
    <t>Doc300735569 - PR 3000001574 - RFQ 0410001515 - Enerpac Overhauling and Certification</t>
  </si>
  <si>
    <t>BB/12/12902/2025</t>
  </si>
  <si>
    <t>PR-0200028231 - RFQ2008773 - ELECTRICAL FUSE</t>
  </si>
  <si>
    <t>PR-0100004323 - RFQ1004175</t>
  </si>
  <si>
    <t>BB/12/12909/2025</t>
  </si>
  <si>
    <t>PR-0200028468 - RFQ2008923 - PAINT</t>
  </si>
  <si>
    <t>DISPLAY TOUCH 1012505808</t>
  </si>
  <si>
    <t>L2-I&amp;C Spare 1012505580</t>
  </si>
  <si>
    <t>1-LUCY RMU DA KITS 1012505887</t>
  </si>
  <si>
    <t>SAND 1012505586</t>
  </si>
  <si>
    <t>BB/12/12911/2025</t>
  </si>
  <si>
    <t>RFQ Fabrication of Diesel Tank OOD-DD-MTO-QUT-ST-010-25 - Gravity Diesel Hose Kit</t>
  </si>
  <si>
    <t>TPE- 742</t>
  </si>
  <si>
    <t>PR 39896 | LD - Steam Regulator SR-5</t>
  </si>
  <si>
    <t>TPE</t>
  </si>
  <si>
    <t>BB/12/12912/2025</t>
  </si>
  <si>
    <t>RFQ Fabrication of Diesel Tank OOD-DD-MTO-QUT-ST-010-25 - Tank Vent</t>
  </si>
  <si>
    <t>BB/12/12913/2025</t>
  </si>
  <si>
    <t>RFQ PR-25-B152-ELE-162 Controller Brake Assembly Positive &amp; Negative Heatsink For Elmagco</t>
  </si>
  <si>
    <t>BB/12/12952/2025</t>
  </si>
  <si>
    <t>Doc2808963081 - RFQ PLUMBING AND SANITARY MATERIALS FOR BASE</t>
  </si>
  <si>
    <t>BB/12/12957/2025</t>
  </si>
  <si>
    <t>PR 50207- Misc pipe yard items</t>
  </si>
  <si>
    <t>BB/12/12960/2025</t>
  </si>
  <si>
    <t>PR-25-B152-ELE-165 | Manual Starter Single Unit 2 Poles 16A 277 VAC</t>
  </si>
  <si>
    <t>BB/12/12963/2025</t>
  </si>
  <si>
    <t>PR-25-B152-ELE-164 | SOLENOID COIL TYPE AMG 208-240VAC 60 HZ</t>
  </si>
  <si>
    <t>BB/12/12964/2025</t>
  </si>
  <si>
    <t>PR-25-B152-MECH-129 HIGH PRESSURE WASHING GUN</t>
  </si>
  <si>
    <t>BB/12/12966/2025</t>
  </si>
  <si>
    <t>PR-25-B152-ELE-160 TURBO XE FOG FAN MODEL XE2000-EXP | AFE B152-2025106</t>
  </si>
  <si>
    <t>BB/12/12967/2025</t>
  </si>
  <si>
    <t>BB/12/12968/2025</t>
  </si>
  <si>
    <t>PR-25-B152-BE-187 HYDRAULIC POWER KIT FOR WELDER - AFEB152-2025115</t>
  </si>
  <si>
    <t>PR-25-B152-WHSE-341 SOLVENT SPRAY GUN FOR RIG FLOOR &amp; MEHC USE</t>
  </si>
  <si>
    <t>BB/12/12965/2025</t>
  </si>
  <si>
    <t>PR-25-B152-WHSE-343 RELIEF VALVE FOR AIR COMPRESSOR - CALIBRATION REJECTED</t>
  </si>
  <si>
    <t>BB/12/12973/2025</t>
  </si>
  <si>
    <t>PR 1000003806 - RFQ 410001594 - Ball Valve, Flanges, Socket.</t>
  </si>
  <si>
    <t>Doc302127267 - PR-0200028738 - RFQ2009058</t>
  </si>
  <si>
    <t>BB/12/12974/2025</t>
  </si>
  <si>
    <t>BB/12/12969/2025</t>
  </si>
  <si>
    <t>PR-25-B152-ELE-147 Spare Parts for Portable Air Conditioner</t>
  </si>
  <si>
    <t>BB/12/12984/2025</t>
  </si>
  <si>
    <t>Doc302827559 - LPS-1000003888-410001609-ELECTRICAL TOOLS</t>
  </si>
  <si>
    <t>BB/12/12985/2025</t>
  </si>
  <si>
    <t>LPS-1000003900-410001623-ELECTRICAL COMMON IT</t>
  </si>
  <si>
    <t>BB/12/12987/2025</t>
  </si>
  <si>
    <t>Doc301607321 - PR 200028523 - RFQ2008993 - EXTINGUISHER FIRE</t>
  </si>
  <si>
    <t>BB/12/12988/2025</t>
  </si>
  <si>
    <t>Doc302125324 - PR-0200028736 - RFQ2009062 - BEAN - CHOKE</t>
  </si>
  <si>
    <t>BB/12/12986/2025</t>
  </si>
  <si>
    <t>PR 1000003897 - RFQ 410001657 - Heater.</t>
  </si>
  <si>
    <t>BB/12/12992/2025</t>
  </si>
  <si>
    <t>Doc302817863 - PR-1000003894-RFQ-0410001613-INDICATOR</t>
  </si>
  <si>
    <t>BB/12/12991/2025</t>
  </si>
  <si>
    <t>Doc302907755 - LPS-1000003887-410001663-ELECTRICAL COMMON IT</t>
  </si>
  <si>
    <t>BB/12/12990/2025</t>
  </si>
  <si>
    <t>Doc302857386 - PR-1000003895-RFQ-0410001648-POSITION LAMP</t>
  </si>
  <si>
    <t>BB/12/12993/2025</t>
  </si>
  <si>
    <t>Doc302843190 - PR-1000003892-RFQ-410001638-MARSHALLING KIOSK</t>
  </si>
  <si>
    <t>BB/12/13304/2025</t>
  </si>
  <si>
    <t>AA11468-O</t>
  </si>
  <si>
    <t>BB/12/13312/2025</t>
  </si>
  <si>
    <t>PR-1000003893-RFQ-410001706-GAS TURBINE M701F (C.</t>
  </si>
  <si>
    <t>BB/12/13307/2025</t>
  </si>
  <si>
    <t>Tender # 2575/MZM/2025 Supply of Blind Flanges for CONSTRUCTION OF RDS-3 &amp; RDS-4 AND ASSOCI – AIP 5</t>
  </si>
  <si>
    <t>PETROJET UAE</t>
  </si>
  <si>
    <t>BB/12/13327/2025</t>
  </si>
  <si>
    <t>PR 11978847 REV 1 - AUHW 0091-25 PLUMBING AND SANITARY MATERIALS FOR BASE</t>
  </si>
  <si>
    <t>BB/12/13330/2025</t>
  </si>
  <si>
    <t>Doc303541140 - PR-1000003902-RFQ-410001724- SURGE CAPACITOR</t>
  </si>
  <si>
    <t>PR-25-B152-ELE-180 Fluorescent Tube Light Bulb F15T8CW</t>
  </si>
  <si>
    <t>BB/12/13335/2025</t>
  </si>
  <si>
    <t>Doc303029275 - LPS - PR 1000003864 - RFQ 410001671 - Pipes and Consumables</t>
  </si>
  <si>
    <t>BB/12/13329/2025</t>
  </si>
  <si>
    <t>Roller bearings 1012506515</t>
  </si>
  <si>
    <t>Instrumentation fittings 1012506447</t>
  </si>
  <si>
    <t>1-Bearings 1012506493</t>
  </si>
  <si>
    <t>Winter Coat 1012505484</t>
  </si>
  <si>
    <t>3-Spares 1012506397</t>
  </si>
  <si>
    <t>Procurement of PVC hose for G 1012506406</t>
  </si>
  <si>
    <t>BB/12/13341/2025</t>
  </si>
  <si>
    <t>EPCI PIPEL. &amp; SLEEPER PR 11973219 GROUT BAG (WITH ROV FRIENDLY HANDLES) - Event ID: Doc2844267047</t>
  </si>
  <si>
    <t>BB/12/13325/2025</t>
  </si>
  <si>
    <t>RFQ REF : BB/12/13325/2025 FOR ELECTRIC HEATER</t>
  </si>
  <si>
    <t>BB/12/13342/2025</t>
  </si>
  <si>
    <t>T-3047-ITB-E12// SAQR 2.0 - Package 1-RAK Ports Infrastructure// Cathodic Protection for Steel Piles</t>
  </si>
  <si>
    <t>ARCHIRODON CONSTRUCTION (OVERSEAS) CO. Ltd.</t>
  </si>
  <si>
    <t xml:space="preserve">                              </t>
  </si>
  <si>
    <t>BB/12/13352/2025</t>
  </si>
  <si>
    <t>PR 1000003982 - RFQ 0410001789 - GRP Pipe Clamp.</t>
  </si>
  <si>
    <t>BB/12/13360/2025</t>
  </si>
  <si>
    <t>PR 1000003824 - RFQ 0410001771 - Butterfly Valve End Date Reminder</t>
  </si>
  <si>
    <t>BB/12/13359/2025</t>
  </si>
  <si>
    <t>PR 1000003883 - RFQ 0410001783 - Positioner End Date Reminder</t>
  </si>
  <si>
    <t>PR 1000003904 - 0410001753 - CCGT Lubricants.</t>
  </si>
  <si>
    <t>BB/12/13361/2026</t>
  </si>
  <si>
    <t>BB/12/13364/2025</t>
  </si>
  <si>
    <t>PR-1000003893-RFQ-410001706-GAS TURBINE M701F (C has been reopened.</t>
  </si>
  <si>
    <t>PR 1000003762 - RFQ 0410001766 - Repair Clamp End Date Reminder</t>
  </si>
  <si>
    <t>BB/12/13365/2025</t>
  </si>
  <si>
    <t>BB/12/13366/2025</t>
  </si>
  <si>
    <t>PR 1000003977 - RFQ 410001790 - Gasket End Date Reminder</t>
  </si>
  <si>
    <t>BB/12/13369/2025</t>
  </si>
  <si>
    <t>PR-1000003990-RFQ-0410001848-THREAD BAR.</t>
  </si>
  <si>
    <t>BB/12/13378/2025</t>
  </si>
  <si>
    <t>PR 1000003788 - RFQ 0410001768 - Bearing End Date Reminder</t>
  </si>
  <si>
    <t>BB/12/13385/2025</t>
  </si>
  <si>
    <t>PR 1000004029 - RFQ 410001881 - Indicator and Valve.</t>
  </si>
  <si>
    <t>BB/12/13387/2025</t>
  </si>
  <si>
    <t>Doc305896882 - PR-0200029408 - RFQ2009278 - Electrical Equipment</t>
  </si>
  <si>
    <t xml:space="preserve"> </t>
  </si>
  <si>
    <t>BB/12/13394/2025</t>
  </si>
  <si>
    <t>RFQ Fire resistance Bellow</t>
  </si>
  <si>
    <t>PR-1000004013-RFQ-0410001858-FAN.</t>
  </si>
  <si>
    <t>BB/12/13399/2025</t>
  </si>
  <si>
    <t>PR 1000004030 - RFQ 410001888 - Reverse Rotation Sensor and Converter.</t>
  </si>
  <si>
    <t>BB/12/13395/2025</t>
  </si>
  <si>
    <t>BB/12/13400/2025</t>
  </si>
  <si>
    <t>PR 1000003991 - RFQ 0410001890 - Auma Actuator.</t>
  </si>
  <si>
    <t>BB/12/13375/2025</t>
  </si>
  <si>
    <t>PR-25-B152-SPC-092 Emergency Escape Ladder 25Ft</t>
  </si>
  <si>
    <t>BB/12/13402/2025</t>
  </si>
  <si>
    <t>PR-25-B152-ELE-185- Fresh air unit pocket filters</t>
  </si>
  <si>
    <t>8914-25</t>
  </si>
  <si>
    <t>8917-25</t>
  </si>
  <si>
    <t>8920-25</t>
  </si>
  <si>
    <t>8923-25</t>
  </si>
  <si>
    <t>8926-25</t>
  </si>
  <si>
    <t>8929-25</t>
  </si>
  <si>
    <t>BB/12/13403/2025</t>
  </si>
  <si>
    <t>PR-25-B152-ELE-187- Thermostat for salad counter</t>
  </si>
  <si>
    <t>SUPPLY OF GEAR BOX SPARES OF 1012506903</t>
  </si>
  <si>
    <t>Metallic bellow expansion jo 1012506752</t>
  </si>
  <si>
    <t>M-STATION DESAL REQUESTS TO P 1012506321</t>
  </si>
  <si>
    <t>DN600 PN10 Concertric type Bu 1012506423</t>
  </si>
  <si>
    <t>Motor 1012506513</t>
  </si>
  <si>
    <t>Spare for Air craft lighting 1012506039</t>
  </si>
  <si>
    <t>TURBIDITY ANALYSER;SWAN, AMI 1012506709</t>
  </si>
  <si>
    <t>Purchase of carbon brushes fo 1012506806</t>
  </si>
  <si>
    <t>1-Peek Scientific generator s 1012506795</t>
  </si>
  <si>
    <t>PR 11945425 RFQ 6000031163 FOR WILFLEY AND SONS PARTS</t>
  </si>
  <si>
    <t>PR 11945428 RFQ 6000031166 FOR ACTUATOR,ELECTRIC MOTOR</t>
  </si>
  <si>
    <t>PR 11945431 RFQ 6000031169 FOR COMPRESSOR,REFRIGERATION</t>
  </si>
  <si>
    <t>PR 11945544 RFQ 6000031172 FOR GASKET,SPIRAL WOUND</t>
  </si>
  <si>
    <t>PR 11945547 RFQ 6000031175 FOR VALVE PLUG AND VALVE BUTTERFLY</t>
  </si>
  <si>
    <t>PR 11945555 RFQ 6000031177 FOR HOSES</t>
  </si>
  <si>
    <t>Doc294220071 - PR-0200026973 - RFQ2008127 - TUBELESS TIRES</t>
  </si>
  <si>
    <t>BB/12/13418/2025</t>
  </si>
  <si>
    <t>Boiler Spare for G station Je 1012506850</t>
  </si>
  <si>
    <t>Control and on-off valves. 1012506418</t>
  </si>
  <si>
    <t>Vibration Transmitter 1012506883</t>
  </si>
  <si>
    <t>Pneumatic Positioner 1012506988</t>
  </si>
  <si>
    <t>D-STATION - BEARING 1012506909</t>
  </si>
  <si>
    <t>1-Supply of Lubricating oil f 1012507118</t>
  </si>
  <si>
    <t>BB/12/13406/2025</t>
  </si>
  <si>
    <t>T-3050-ITB-IC9 &amp; IC10 // Liquid Berths Expansion at Hamriyah Port// Invitation to Bid for the MOV &amp; ESD Valves</t>
  </si>
  <si>
    <t>18/12/2025</t>
  </si>
  <si>
    <t>22/12/2025</t>
  </si>
  <si>
    <t>29/12/2025</t>
  </si>
  <si>
    <t>26/12/2025</t>
  </si>
  <si>
    <t>BB/12/13405/2025</t>
  </si>
  <si>
    <t>T-3050-ITB-M06 // Liquid Berths Expansion at Hamriyah Port// Invitation to Bid for the Steel Vessels</t>
  </si>
  <si>
    <t>BB/12/13408/2025</t>
  </si>
  <si>
    <t>T-3050-ITB-P2c &amp; P2d // Liquid Berths Expansion at Hamriyah Port// Invitation to Bid for the Flanges, Gasket &amp; Induction Bends</t>
  </si>
  <si>
    <t>BB/12/13407/2025</t>
  </si>
  <si>
    <t>T-3050-ITB-IC 8a &amp; 8b // Liquid Berths Expansion at Hamriyah Port// Invitation to Bid for the Field Instruments (FTs, PTs, TTs, ROs) &amp; Instrument Gauges (PIs, DPIs, TIs, LIs)</t>
  </si>
  <si>
    <t>BB/12/20007/2026</t>
  </si>
  <si>
    <t>PR 1000003999 - RFQ 410001861 - Fire Hose.</t>
  </si>
  <si>
    <t>BB/12/20009/2026</t>
  </si>
  <si>
    <t>PR 1000003890 RFQ 0410001687 Welding electrode LPS.</t>
  </si>
  <si>
    <t>BB/12/20011/2026</t>
  </si>
  <si>
    <t>Doc307328476 - PR-0100004479 - RFQ1004319</t>
  </si>
  <si>
    <t>BB/12/20015/2026</t>
  </si>
  <si>
    <t>Doc308360864 - PR-0200029837 - RFQ2009419 - STANLEY</t>
  </si>
  <si>
    <t>BB/12/20010/2026</t>
  </si>
  <si>
    <t>Doc305390435 - PR-0200029146 - RFQ2009239 - PLATE</t>
  </si>
  <si>
    <t>GAUGE;LEVEL 1012506532</t>
  </si>
  <si>
    <t>PISTON RING FOR WHRB-11/12/13 1012507299</t>
  </si>
  <si>
    <t>SPARES 1012505642</t>
  </si>
  <si>
    <t>BB/12/20016/2026</t>
  </si>
  <si>
    <t>SAIPEM 3000 - LAVAZZA MACHINE AND CAPSULES - PR 11986241</t>
  </si>
  <si>
    <t>BB/12/20017/2026</t>
  </si>
  <si>
    <t>SAIPEM 3000 - BORBONE COFFE CAPSULES - PR 11986242</t>
  </si>
  <si>
    <t>BB/12/20008/2026</t>
  </si>
  <si>
    <t>Doc308410694 - PR-0100004515 - RFQ1004354</t>
  </si>
  <si>
    <t>VSD 1012507153</t>
  </si>
  <si>
    <t>Carbon Brush &amp; Holder 1012506966</t>
  </si>
  <si>
    <t>JAPS L1-STATION GAS TURBINE, 1012507269</t>
  </si>
  <si>
    <t>JAPS L1-STATION GAS TURBINE, 1012507323</t>
  </si>
  <si>
    <t>JAPS L1-STATION GAS TURBINE, 1012507322</t>
  </si>
  <si>
    <t>M_Station Desal need to purch 1012600011</t>
  </si>
  <si>
    <t>M Station Desal requests to p 1012507413</t>
  </si>
  <si>
    <t>13/1/2026</t>
  </si>
  <si>
    <t>TOYOTA SPARE PARTS. 1012600163</t>
  </si>
  <si>
    <t>Supply of contactors 1012507258</t>
  </si>
  <si>
    <t>Flashlight 1012600112</t>
  </si>
  <si>
    <t>ANGLE 1012600154</t>
  </si>
  <si>
    <t>15/1/26</t>
  </si>
  <si>
    <t>16/1/26</t>
  </si>
  <si>
    <t>BB/12/20028/2026</t>
  </si>
  <si>
    <t>Doc308922801 - PR-0200029942 - RFQ2009454 - FARRIS</t>
  </si>
  <si>
    <t>19/1/26</t>
  </si>
  <si>
    <t>BB/12/20029/2026</t>
  </si>
  <si>
    <t>RFQ-2026-271543 (Supply of Expansion Joint - MAH)</t>
  </si>
  <si>
    <t>14/1/26</t>
  </si>
  <si>
    <t>BB/12/20032/2026</t>
  </si>
  <si>
    <t>PR 1000003652 - RFQ 0410001398 - Emergency Materials.</t>
  </si>
  <si>
    <t>13/1/26</t>
  </si>
  <si>
    <t xml:space="preserve"> BBMRO/2060/26</t>
  </si>
  <si>
    <t xml:space="preserve">	81 / GENERAL ITEMS</t>
  </si>
  <si>
    <t>20/1/26</t>
  </si>
  <si>
    <t>BBMRO/2061/26</t>
  </si>
  <si>
    <t xml:space="preserve">	64 / ELECTRICAL ITEMS / SPARES</t>
  </si>
  <si>
    <t>BB/12/20033/2026</t>
  </si>
  <si>
    <t>PR-26-B152-BE-005 Pump for Langelier saturation Index</t>
  </si>
  <si>
    <t>PR-25-B152-ELE-186- Port crane hydraulic oil cooling fan</t>
  </si>
  <si>
    <t>BB/12/20034/2026</t>
  </si>
  <si>
    <t>TRANSMITTER 1012600103</t>
  </si>
  <si>
    <t>POSITIONER VALVE 1012600233</t>
  </si>
  <si>
    <t>VAULTEX SAFETY GLOVES 1012506638</t>
  </si>
  <si>
    <t>1-Relay 1012507402</t>
  </si>
  <si>
    <t>OIL_ENGINE; 1012507229</t>
  </si>
  <si>
    <t>2 SPARE BEARINGS 1012600124</t>
  </si>
  <si>
    <t>23/1/26</t>
  </si>
  <si>
    <t>BB/12/20052/2026</t>
  </si>
  <si>
    <t>REQ 1000004084 RFQ 410001976 ARC 982 ADVANCE POLYMER COMPOSITE COAT.</t>
  </si>
  <si>
    <t>BB/12/20055/2026</t>
  </si>
  <si>
    <t>Doc309413479 - PR-0200029895 - RFQ2009492 CRANE SPARES AND CONSUMABLES</t>
  </si>
  <si>
    <t>21/1/26</t>
  </si>
  <si>
    <t>1 SENSOR LEAD 1012507202</t>
  </si>
  <si>
    <t>Batteries 1012600125</t>
  </si>
  <si>
    <t>MCCB - FOR G RO L.P. PUMP SOF 1012600292</t>
  </si>
  <si>
    <t>Supply of Non-return valve, t 1012600258</t>
  </si>
  <si>
    <t>26/1/26</t>
  </si>
  <si>
    <t>BB/12/20060/2026</t>
  </si>
  <si>
    <t>PR 1000004096 - RFQ 0410002000 - Warning Tape.</t>
  </si>
  <si>
    <t>22/1/26</t>
  </si>
  <si>
    <t>BB/12/20062/2026</t>
  </si>
  <si>
    <t>PR-25-B152-ELE-147 | Spare Parts for Portable Air Conditioner</t>
  </si>
  <si>
    <t>BB/12/20071/2026</t>
  </si>
  <si>
    <t>Doc308340864 - PR-0100004512 - RFQ1004333</t>
  </si>
  <si>
    <t>BB/12/20072/2026</t>
  </si>
  <si>
    <t>Doc308340827 - PR-0100004499 - RFQ1004341</t>
  </si>
  <si>
    <t>BB/12/20085/2026</t>
  </si>
  <si>
    <t>PR 100003457 - RFQ 0410001361 - Rotating Diodes.</t>
  </si>
  <si>
    <t>28/1/26</t>
  </si>
  <si>
    <t>BB/12/20088/2026</t>
  </si>
  <si>
    <t>Doc311002872 - PR-0200030290 - RFQ2009609 ELECTRICAL</t>
  </si>
  <si>
    <t>BB/12/20092/2026</t>
  </si>
  <si>
    <t>Doc311143090 - PR-0200030292 - RFQ2009612 DDS ELECTRICAL</t>
  </si>
  <si>
    <t>29/1/26</t>
  </si>
  <si>
    <t>Spare parts for M station FGC 1012600487</t>
  </si>
  <si>
    <t>Purchase of Auxiliary lube oi 1012600458</t>
  </si>
  <si>
    <t>Transformer Spares 1012600332</t>
  </si>
  <si>
    <t>30/1/26</t>
  </si>
  <si>
    <t>BB/12/20102/2026</t>
  </si>
  <si>
    <t>Doc289219100 - PR-1000003109-RFQ-0410000459-PBV</t>
  </si>
  <si>
    <t>BB/12/20107/2026</t>
  </si>
  <si>
    <t>INQUIRY FOR BOLTS &amp; NUTS (FOR B16.5 &amp; B16.47 FLANGES) - PROPOSED CONSTRUCTION OF GIGIRI - SHAURIMOYO WATERLINE PROJECT IN NAIROBI COUNTY</t>
  </si>
  <si>
    <t>ZAKHEM CONSTRUCTION KENYA LTD.</t>
  </si>
  <si>
    <t>BB/12/20109/2026</t>
  </si>
  <si>
    <t>AA04973-UA.</t>
  </si>
  <si>
    <t>ALBA</t>
  </si>
  <si>
    <t>Reconstruction works for the 1012600498</t>
  </si>
  <si>
    <t>1- spare Hydraulic pump motor 1012600571</t>
  </si>
  <si>
    <t>Supply of Fiber optic patch c 1012600406</t>
  </si>
  <si>
    <t>FOR G STATION HEATING STEAM L 1012600528</t>
  </si>
  <si>
    <t>19/11/25</t>
  </si>
  <si>
    <t>20/11/25</t>
  </si>
  <si>
    <t>For PJRO 1012600578</t>
  </si>
  <si>
    <t>E station BPST7 IAC lube oil 1012600631</t>
  </si>
  <si>
    <t>Compressor for Split &amp; Packag 1012600531</t>
  </si>
  <si>
    <t>2INCH SS316 Pipe for Use in D 1012600626</t>
  </si>
  <si>
    <t>Spares for HVAC units at E-St 1012600584</t>
  </si>
  <si>
    <t>Current Transformer for Neutr 1012600608</t>
  </si>
  <si>
    <t>13/2/2026</t>
  </si>
  <si>
    <t>BB/12/20127/2026</t>
  </si>
  <si>
    <t>PR 1000004136 RFQ 0410002116 makita wrench LPS.</t>
  </si>
  <si>
    <t>BB/12/20128/2026</t>
  </si>
  <si>
    <t>NGD - PR 1000004167 - RFQ 410002088 - Teflon Tape.</t>
  </si>
  <si>
    <t>20/12/2025</t>
  </si>
  <si>
    <t>25/12/2025</t>
  </si>
  <si>
    <t>16/12/2025</t>
  </si>
  <si>
    <t>19/12/2025</t>
  </si>
  <si>
    <t>17/12/2025</t>
  </si>
  <si>
    <t>13/11/2025</t>
  </si>
  <si>
    <t>18/11/2025</t>
  </si>
  <si>
    <t>19/11/2025</t>
  </si>
  <si>
    <t>26/11/2025</t>
  </si>
  <si>
    <t>27/11/2025</t>
  </si>
  <si>
    <t>20/11/2025</t>
  </si>
  <si>
    <t>21/11/2025</t>
  </si>
  <si>
    <t>22/11/2025</t>
  </si>
  <si>
    <t>24/11/2025</t>
  </si>
  <si>
    <t>25/11/2025</t>
  </si>
  <si>
    <t>28/11/2025</t>
  </si>
  <si>
    <t>31/12/2025</t>
  </si>
  <si>
    <t>23/12/2025</t>
  </si>
  <si>
    <t>24/12/2025</t>
  </si>
  <si>
    <t>30/12/2025</t>
  </si>
  <si>
    <t>  13,571.25</t>
  </si>
  <si>
    <t>16/1/2026</t>
  </si>
  <si>
    <t>21/1/2026</t>
  </si>
  <si>
    <t>23/1/2026</t>
  </si>
  <si>
    <t> 22669.50</t>
  </si>
  <si>
    <t>Tasharok Agrement 1012600702</t>
  </si>
  <si>
    <t xml:space="preserve">	Supply of Codeline Pressure V 1012600637</t>
  </si>
  <si>
    <t xml:space="preserve">	Supply of Bush bearing 1012600612</t>
  </si>
  <si>
    <t xml:space="preserve">	M Station Desal requests to p 1012600648</t>
  </si>
  <si>
    <t>17/2/2026</t>
  </si>
  <si>
    <t>18/2/2026</t>
  </si>
  <si>
    <t>Sup GT Hall Shutter Door Syst 1012600555 </t>
  </si>
  <si>
    <t>Spares 1012600465</t>
  </si>
  <si>
    <t>cable gland 1012600661</t>
  </si>
  <si>
    <t>LOCK PAD 1012600656</t>
  </si>
  <si>
    <t>17/1/2026</t>
  </si>
  <si>
    <t>19/1/2026</t>
  </si>
  <si>
    <t>15/1/2026</t>
  </si>
  <si>
    <t> 892.50</t>
  </si>
  <si>
    <t>20/1/2026</t>
  </si>
  <si>
    <t>27/1/2026</t>
  </si>
  <si>
    <t>26/1/2026</t>
  </si>
  <si>
    <t>22/1/2026</t>
  </si>
  <si>
    <t>24/1/2026</t>
  </si>
  <si>
    <t>28/1/2026</t>
  </si>
  <si>
    <t>14/2/2026</t>
  </si>
  <si>
    <t>BB/12/20136/2026</t>
  </si>
  <si>
    <t>16/2/2026</t>
  </si>
  <si>
    <t>BB/12/20151/2026</t>
  </si>
  <si>
    <t>19/2/2026</t>
  </si>
  <si>
    <t>M Station Desal requests to p 1012600678</t>
  </si>
  <si>
    <t>Supply of bearing elements an 1012600589</t>
  </si>
  <si>
    <t>Switch 1012600831</t>
  </si>
  <si>
    <t>Supply of Wet compression Inj 1012600773</t>
  </si>
  <si>
    <t>24/2/2026</t>
  </si>
  <si>
    <t> 2997.75</t>
  </si>
  <si>
    <t>20/2/2026</t>
  </si>
  <si>
    <t>RFQ 6000136495 - PG GROUP 182605</t>
  </si>
  <si>
    <t>23/2/2026</t>
  </si>
  <si>
    <t>25/2/2026</t>
  </si>
  <si>
    <t>21/2/2026</t>
  </si>
  <si>
    <t>RED SPRAY PAINT 1012600847</t>
  </si>
  <si>
    <t>SOLVENT_C7H8 1012600881</t>
  </si>
  <si>
    <t>26/2/2026</t>
  </si>
  <si>
    <t>BB/12/20160/2026</t>
  </si>
  <si>
    <t>PR-26-B152-WHSE-041 STEEL HANDLED SLEDGE HAMMER FOR SHAKER</t>
  </si>
  <si>
    <t>BB/12/20161/2026</t>
  </si>
  <si>
    <t>PR-1000004270-RFQ-0410002193-GLYCERINE DRUM.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</si>
</sst>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Calibri"/>
      <family val="2"/>
      <scheme val="minor"/>
    </font>
    <font>
      <sz val="9"/>
      <color rgb="FF1F1F1F"/>
      <name val="Arial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0"/>
      <color rgb="FF000000"/>
      <name val="Trebuchet MS"/>
      <family val="2"/>
    </font>
    <font>
      <sz val="9"/>
      <color rgb="FF222222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333333"/>
      <name val="Trebuchet MS"/>
      <family val="2"/>
    </font>
    <font>
      <b/>
      <sz val="11"/>
      <color rgb="FF222222"/>
      <name val="Calibri"/>
      <family val="2"/>
    </font>
    <font>
      <sz val="11"/>
      <name val="Calibri"/>
      <family val="2"/>
      <scheme val="minor"/>
    </font>
    <font>
      <sz val="23"/>
      <color rgb="FF2E3C57"/>
      <name val="Inte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</font>
    <font>
      <sz val="12"/>
      <color rgb="FF000000"/>
      <name val="Trebuchet MS"/>
      <family val="2"/>
    </font>
    <font>
      <sz val="12"/>
      <color rgb="FF000000"/>
      <name val="Arial"/>
      <family val="2"/>
    </font>
    <font>
      <sz val="12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222222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2" fontId="4" fillId="4" borderId="1" xfId="0" applyNumberFormat="1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 wrapText="1"/>
    </xf>
    <xf numFmtId="0" fontId="8" fillId="4" borderId="13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4" borderId="1" xfId="0" applyFont="1" applyFill="1" applyBorder="1" applyAlignment="1">
      <alignment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14" fontId="8" fillId="4" borderId="17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/>
    </xf>
    <xf numFmtId="4" fontId="0" fillId="0" borderId="1" xfId="0" quotePrefix="1" applyNumberFormat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3" fillId="0" borderId="1" xfId="1" applyBorder="1" applyAlignment="1">
      <alignment horizontal="right" vertical="center"/>
    </xf>
    <xf numFmtId="0" fontId="0" fillId="0" borderId="0" xfId="0" applyAlignment="1">
      <alignment horizontal="right"/>
    </xf>
    <xf numFmtId="0" fontId="15" fillId="0" borderId="0" xfId="0" applyFont="1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16" fillId="5" borderId="1" xfId="0" applyFont="1" applyFill="1" applyBorder="1" applyAlignment="1">
      <alignment horizontal="center" vertical="center"/>
    </xf>
    <xf numFmtId="4" fontId="17" fillId="0" borderId="0" xfId="0" applyNumberFormat="1" applyFont="1"/>
    <xf numFmtId="0" fontId="19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8" fillId="4" borderId="13" xfId="0" applyFont="1" applyFill="1" applyBorder="1" applyAlignment="1">
      <alignment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14" fontId="0" fillId="0" borderId="1" xfId="0" applyNumberFormat="1" applyBorder="1"/>
    <xf numFmtId="0" fontId="8" fillId="4" borderId="13" xfId="0" applyFont="1" applyFill="1" applyBorder="1" applyAlignment="1">
      <alignment vertical="center" wrapText="1"/>
    </xf>
    <xf numFmtId="0" fontId="0" fillId="0" borderId="1" xfId="0" applyBorder="1"/>
    <xf numFmtId="0" fontId="0" fillId="0" borderId="17" xfId="0" applyBorder="1" applyAlignment="1">
      <alignment horizontal="right" vertical="center"/>
    </xf>
    <xf numFmtId="4" fontId="22" fillId="4" borderId="1" xfId="0" applyNumberFormat="1" applyFont="1" applyFill="1" applyBorder="1" applyAlignment="1">
      <alignment vertical="center" wrapText="1"/>
    </xf>
    <xf numFmtId="0" fontId="10" fillId="4" borderId="13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center" vertical="center" wrapText="1"/>
    </xf>
    <xf numFmtId="14" fontId="24" fillId="4" borderId="1" xfId="0" applyNumberFormat="1" applyFont="1" applyFill="1" applyBorder="1" applyAlignment="1">
      <alignment horizontal="center" vertical="center" wrapText="1"/>
    </xf>
    <xf numFmtId="0" fontId="25" fillId="0" borderId="0" xfId="0" applyFont="1"/>
    <xf numFmtId="22" fontId="7" fillId="3" borderId="14" xfId="0" applyNumberFormat="1" applyFont="1" applyFill="1" applyBorder="1" applyAlignment="1">
      <alignment horizontal="center" vertical="center" wrapText="1"/>
    </xf>
    <xf numFmtId="22" fontId="7" fillId="3" borderId="2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0"/>
  <sheetViews>
    <sheetView tabSelected="1" zoomScale="90" zoomScaleNormal="90" workbookViewId="0">
      <pane ySplit="11" topLeftCell="A84" activePane="bottomLeft" state="frozen"/>
      <selection activeCell="C1" sqref="C1"/>
      <selection pane="bottomLeft" activeCell="M755" sqref="M755"/>
    </sheetView>
  </sheetViews>
  <sheetFormatPr defaultRowHeight="15"/>
  <cols>
    <col min="1" max="1" width="6" style="1" bestFit="1" customWidth="1"/>
    <col min="2" max="2" width="35.85546875" style="1" bestFit="1" customWidth="1"/>
    <col min="3" max="3" width="24" style="21" bestFit="1" customWidth="1"/>
    <col min="4" max="4" width="17.140625" style="21" customWidth="1"/>
    <col min="5" max="5" width="59.28515625" style="1" customWidth="1"/>
    <col min="6" max="6" width="14.5703125" style="21" customWidth="1"/>
    <col min="7" max="7" width="14.7109375" style="21" bestFit="1" customWidth="1"/>
    <col min="8" max="8" width="16.85546875" style="21" customWidth="1"/>
    <col min="9" max="9" width="13.85546875" style="52" customWidth="1"/>
    <col min="10" max="18" width="10.7109375" style="52" customWidth="1"/>
    <col min="19" max="19" width="14.85546875" style="21" customWidth="1"/>
    <col min="20" max="22" width="11.85546875" style="21" customWidth="1"/>
    <col min="23" max="23" width="13.28515625" style="21" bestFit="1" customWidth="1"/>
    <col min="24" max="27" width="11.85546875" style="21" customWidth="1"/>
    <col min="28" max="28" width="11.7109375" style="21" customWidth="1"/>
    <col min="29" max="29" width="24.5703125" style="1" customWidth="1"/>
    <col min="30" max="16384" width="9.140625" style="1"/>
  </cols>
  <sheetData>
    <row r="1" spans="1:29" ht="15" customHeight="1" thickBot="1">
      <c r="A1" s="41" t="s">
        <v>0</v>
      </c>
      <c r="B1" s="40" t="s">
        <v>1</v>
      </c>
      <c r="C1" s="24"/>
    </row>
    <row r="2" spans="1:29" ht="15" customHeight="1">
      <c r="A2" s="42">
        <v>1</v>
      </c>
      <c r="B2" s="2" t="s">
        <v>2</v>
      </c>
      <c r="C2" s="3">
        <v>0</v>
      </c>
    </row>
    <row r="3" spans="1:29" ht="15" customHeight="1">
      <c r="A3" s="42">
        <v>2</v>
      </c>
      <c r="B3" s="2" t="s">
        <v>3</v>
      </c>
      <c r="C3" s="3">
        <v>0</v>
      </c>
      <c r="H3" s="21">
        <v>80000</v>
      </c>
      <c r="I3" s="52">
        <f>+H3*5%</f>
        <v>4000</v>
      </c>
    </row>
    <row r="4" spans="1:29" ht="15" customHeight="1">
      <c r="A4" s="42">
        <v>3</v>
      </c>
      <c r="B4" s="2" t="s">
        <v>4</v>
      </c>
      <c r="C4" s="3">
        <f>SUM(I12:N268)</f>
        <v>13591225.599119995</v>
      </c>
    </row>
    <row r="5" spans="1:29" ht="15" customHeight="1">
      <c r="A5" s="42">
        <v>4</v>
      </c>
      <c r="B5" s="2" t="s">
        <v>5</v>
      </c>
      <c r="C5" s="3">
        <v>0</v>
      </c>
    </row>
    <row r="6" spans="1:29" ht="15" customHeight="1">
      <c r="A6" s="42">
        <v>4</v>
      </c>
      <c r="B6" s="2" t="s">
        <v>6</v>
      </c>
      <c r="C6" s="3">
        <v>0</v>
      </c>
    </row>
    <row r="7" spans="1:29">
      <c r="A7" s="4"/>
      <c r="B7" s="5"/>
      <c r="C7" s="25"/>
      <c r="D7" s="23"/>
      <c r="E7" s="6"/>
      <c r="F7" s="22"/>
      <c r="G7" s="22"/>
      <c r="H7" s="22"/>
      <c r="J7" s="53"/>
      <c r="K7" s="53"/>
      <c r="L7" s="53"/>
      <c r="M7" s="53"/>
      <c r="N7" s="53"/>
      <c r="O7" s="53"/>
      <c r="P7" s="53"/>
      <c r="Q7" s="53"/>
      <c r="R7" s="53"/>
      <c r="S7" s="22"/>
      <c r="T7" s="44"/>
      <c r="U7" s="44"/>
      <c r="V7" s="44"/>
      <c r="W7" s="44"/>
      <c r="X7" s="44"/>
      <c r="Y7" s="44"/>
      <c r="Z7" s="44"/>
      <c r="AA7" s="44"/>
      <c r="AB7" s="44"/>
      <c r="AC7" s="17" t="s">
        <v>25</v>
      </c>
    </row>
    <row r="8" spans="1:29">
      <c r="A8" s="90" t="s">
        <v>23</v>
      </c>
      <c r="B8" s="90"/>
      <c r="C8" s="91" t="s">
        <v>24</v>
      </c>
      <c r="D8" s="92"/>
      <c r="E8" s="92"/>
      <c r="F8" s="92"/>
      <c r="G8" s="92"/>
      <c r="H8" s="92"/>
      <c r="I8" s="92"/>
      <c r="J8" s="93"/>
      <c r="K8" s="97" t="s">
        <v>49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62"/>
      <c r="Z8" s="62"/>
      <c r="AA8" s="62"/>
      <c r="AB8" s="62"/>
      <c r="AC8" s="18" t="s">
        <v>26</v>
      </c>
    </row>
    <row r="9" spans="1:29">
      <c r="A9" s="90"/>
      <c r="B9" s="90"/>
      <c r="C9" s="94"/>
      <c r="D9" s="95"/>
      <c r="E9" s="95"/>
      <c r="F9" s="95"/>
      <c r="G9" s="95"/>
      <c r="H9" s="95"/>
      <c r="I9" s="95"/>
      <c r="J9" s="9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62"/>
      <c r="Z9" s="62"/>
      <c r="AA9" s="62"/>
      <c r="AB9" s="62"/>
      <c r="AC9" s="19" t="s">
        <v>27</v>
      </c>
    </row>
    <row r="10" spans="1:29" s="21" customFormat="1" ht="15" customHeight="1">
      <c r="A10" s="98" t="s">
        <v>7</v>
      </c>
      <c r="B10" s="86" t="s">
        <v>8</v>
      </c>
      <c r="C10" s="86" t="s">
        <v>9</v>
      </c>
      <c r="D10" s="86" t="s">
        <v>10</v>
      </c>
      <c r="E10" s="86" t="s">
        <v>11</v>
      </c>
      <c r="F10" s="86" t="s">
        <v>12</v>
      </c>
      <c r="G10" s="86" t="s">
        <v>13</v>
      </c>
      <c r="H10" s="86" t="s">
        <v>48</v>
      </c>
      <c r="I10" s="100" t="s">
        <v>14</v>
      </c>
      <c r="J10" s="101"/>
      <c r="K10" s="101"/>
      <c r="L10" s="101"/>
      <c r="M10" s="101"/>
      <c r="N10" s="101"/>
      <c r="O10" s="101"/>
      <c r="P10" s="101"/>
      <c r="Q10" s="101"/>
      <c r="R10" s="102"/>
      <c r="S10" s="100" t="s">
        <v>15</v>
      </c>
      <c r="T10" s="101"/>
      <c r="U10" s="101"/>
      <c r="V10" s="101"/>
      <c r="W10" s="101"/>
      <c r="X10" s="101"/>
      <c r="Y10" s="101"/>
      <c r="Z10" s="101"/>
      <c r="AA10" s="101"/>
      <c r="AB10" s="102"/>
      <c r="AC10" s="88" t="s">
        <v>16</v>
      </c>
    </row>
    <row r="11" spans="1:29" s="21" customFormat="1">
      <c r="A11" s="99"/>
      <c r="B11" s="87"/>
      <c r="C11" s="87"/>
      <c r="D11" s="87"/>
      <c r="E11" s="87"/>
      <c r="F11" s="87"/>
      <c r="G11" s="87"/>
      <c r="H11" s="87"/>
      <c r="I11" s="54" t="s">
        <v>17</v>
      </c>
      <c r="J11" s="55" t="s">
        <v>18</v>
      </c>
      <c r="K11" s="55" t="s">
        <v>19</v>
      </c>
      <c r="L11" s="55" t="s">
        <v>117</v>
      </c>
      <c r="M11" s="55" t="s">
        <v>118</v>
      </c>
      <c r="N11" s="55" t="s">
        <v>119</v>
      </c>
      <c r="O11" s="55" t="s">
        <v>217</v>
      </c>
      <c r="P11" s="55" t="s">
        <v>218</v>
      </c>
      <c r="Q11" s="55" t="s">
        <v>219</v>
      </c>
      <c r="R11" s="55" t="s">
        <v>220</v>
      </c>
      <c r="S11" s="29" t="s">
        <v>20</v>
      </c>
      <c r="T11" s="30" t="s">
        <v>21</v>
      </c>
      <c r="U11" s="30" t="s">
        <v>22</v>
      </c>
      <c r="V11" s="30" t="s">
        <v>120</v>
      </c>
      <c r="W11" s="30" t="s">
        <v>121</v>
      </c>
      <c r="X11" s="30" t="s">
        <v>122</v>
      </c>
      <c r="Y11" s="30" t="s">
        <v>216</v>
      </c>
      <c r="Z11" s="30" t="s">
        <v>221</v>
      </c>
      <c r="AA11" s="30" t="s">
        <v>222</v>
      </c>
      <c r="AB11" s="30" t="s">
        <v>223</v>
      </c>
      <c r="AC11" s="89"/>
    </row>
    <row r="12" spans="1:29">
      <c r="A12" s="43">
        <v>1</v>
      </c>
      <c r="B12" s="5" t="s">
        <v>29</v>
      </c>
      <c r="C12" s="38" t="s">
        <v>32</v>
      </c>
      <c r="D12" s="23" t="s">
        <v>41</v>
      </c>
      <c r="E12" s="4" t="s">
        <v>42</v>
      </c>
      <c r="F12" s="22">
        <v>45680</v>
      </c>
      <c r="G12" s="22">
        <v>45686</v>
      </c>
      <c r="H12" s="21" t="s">
        <v>46</v>
      </c>
      <c r="I12" s="52">
        <v>101647</v>
      </c>
      <c r="J12" s="53"/>
      <c r="K12" s="53"/>
      <c r="L12" s="53"/>
      <c r="M12" s="53"/>
      <c r="N12" s="53"/>
      <c r="O12" s="53"/>
      <c r="P12" s="53"/>
      <c r="Q12" s="53"/>
      <c r="R12" s="53"/>
      <c r="S12" s="46">
        <v>45684</v>
      </c>
      <c r="T12" s="44"/>
      <c r="U12" s="44"/>
      <c r="V12" s="44"/>
      <c r="W12" s="44"/>
      <c r="X12" s="44"/>
      <c r="Y12" s="44"/>
      <c r="Z12" s="44"/>
      <c r="AA12" s="44"/>
      <c r="AB12" s="44"/>
      <c r="AC12" s="18" t="s">
        <v>26</v>
      </c>
    </row>
    <row r="13" spans="1:29">
      <c r="A13" s="43">
        <v>2</v>
      </c>
      <c r="B13" s="5" t="s">
        <v>29</v>
      </c>
      <c r="C13" s="38" t="s">
        <v>33</v>
      </c>
      <c r="D13" s="23" t="s">
        <v>41</v>
      </c>
      <c r="E13" s="4" t="s">
        <v>42</v>
      </c>
      <c r="F13" s="22">
        <v>45680</v>
      </c>
      <c r="G13" s="22">
        <v>45686</v>
      </c>
      <c r="H13" s="21" t="s">
        <v>46</v>
      </c>
      <c r="I13" s="52">
        <v>13178</v>
      </c>
      <c r="J13" s="53"/>
      <c r="K13" s="53"/>
      <c r="L13" s="53"/>
      <c r="M13" s="53"/>
      <c r="N13" s="53"/>
      <c r="O13" s="53"/>
      <c r="P13" s="53"/>
      <c r="Q13" s="53"/>
      <c r="R13" s="53"/>
      <c r="S13" s="46">
        <v>45681</v>
      </c>
      <c r="T13" s="44"/>
      <c r="U13" s="44"/>
      <c r="V13" s="44"/>
      <c r="W13" s="44"/>
      <c r="X13" s="44"/>
      <c r="Y13" s="44"/>
      <c r="Z13" s="44"/>
      <c r="AA13" s="44"/>
      <c r="AB13" s="44"/>
      <c r="AC13" s="18" t="s">
        <v>26</v>
      </c>
    </row>
    <row r="14" spans="1:29">
      <c r="A14" s="43">
        <v>3</v>
      </c>
      <c r="B14" s="5" t="s">
        <v>30</v>
      </c>
      <c r="C14" s="38" t="s">
        <v>34</v>
      </c>
      <c r="D14" s="23" t="s">
        <v>41</v>
      </c>
      <c r="E14" s="4" t="s">
        <v>42</v>
      </c>
      <c r="F14" s="22">
        <v>45681</v>
      </c>
      <c r="G14" s="22">
        <v>45686</v>
      </c>
      <c r="H14" s="21" t="s">
        <v>46</v>
      </c>
      <c r="I14" s="52">
        <v>11740</v>
      </c>
      <c r="J14" s="53"/>
      <c r="K14" s="53"/>
      <c r="L14" s="53"/>
      <c r="M14" s="53"/>
      <c r="N14" s="53"/>
      <c r="O14" s="53"/>
      <c r="P14" s="53"/>
      <c r="Q14" s="53"/>
      <c r="R14" s="53"/>
      <c r="S14" s="46">
        <v>45681</v>
      </c>
      <c r="T14" s="44"/>
      <c r="U14" s="44"/>
      <c r="V14" s="44"/>
      <c r="W14" s="44"/>
      <c r="X14" s="44"/>
      <c r="Y14" s="44"/>
      <c r="Z14" s="44"/>
      <c r="AA14" s="44"/>
      <c r="AB14" s="44"/>
      <c r="AC14" s="18" t="s">
        <v>26</v>
      </c>
    </row>
    <row r="15" spans="1:29">
      <c r="A15" s="43">
        <v>4</v>
      </c>
      <c r="B15" s="5" t="s">
        <v>28</v>
      </c>
      <c r="C15" s="38">
        <v>6000101627</v>
      </c>
      <c r="D15" s="23" t="s">
        <v>53</v>
      </c>
      <c r="E15" s="4" t="s">
        <v>50</v>
      </c>
      <c r="F15" s="22">
        <v>45681</v>
      </c>
      <c r="G15" s="22">
        <v>45687</v>
      </c>
      <c r="H15" s="21" t="s">
        <v>47</v>
      </c>
      <c r="I15" s="52">
        <v>560</v>
      </c>
      <c r="J15" s="52">
        <v>700</v>
      </c>
      <c r="K15" s="53"/>
      <c r="L15" s="53"/>
      <c r="M15" s="53"/>
      <c r="N15" s="53"/>
      <c r="O15" s="53"/>
      <c r="P15" s="53"/>
      <c r="Q15" s="53"/>
      <c r="R15" s="53"/>
      <c r="S15" s="46">
        <v>45684</v>
      </c>
      <c r="T15" s="46">
        <v>45684</v>
      </c>
      <c r="U15" s="46"/>
      <c r="V15" s="46"/>
      <c r="W15" s="46"/>
      <c r="X15" s="46"/>
      <c r="Y15" s="46"/>
      <c r="Z15" s="46"/>
      <c r="AA15" s="46"/>
      <c r="AB15" s="46"/>
      <c r="AC15" s="18" t="s">
        <v>26</v>
      </c>
    </row>
    <row r="16" spans="1:29">
      <c r="A16" s="43">
        <v>5</v>
      </c>
      <c r="B16" s="5" t="s">
        <v>28</v>
      </c>
      <c r="C16" s="38">
        <v>6000101459</v>
      </c>
      <c r="D16" s="23" t="s">
        <v>53</v>
      </c>
      <c r="E16" s="4" t="s">
        <v>51</v>
      </c>
      <c r="F16" s="22">
        <v>45681</v>
      </c>
      <c r="G16" s="22">
        <v>45688</v>
      </c>
      <c r="H16" s="21" t="s">
        <v>47</v>
      </c>
      <c r="J16" s="53"/>
      <c r="K16" s="53"/>
      <c r="L16" s="53"/>
      <c r="M16" s="53"/>
      <c r="N16" s="53"/>
      <c r="O16" s="53"/>
      <c r="P16" s="53"/>
      <c r="Q16" s="53"/>
      <c r="R16" s="53"/>
      <c r="S16" s="46"/>
      <c r="T16" s="44"/>
      <c r="U16" s="44"/>
      <c r="V16" s="44"/>
      <c r="W16" s="44"/>
      <c r="X16" s="44"/>
      <c r="Y16" s="44"/>
      <c r="Z16" s="44"/>
      <c r="AA16" s="44"/>
      <c r="AB16" s="44"/>
      <c r="AC16" s="26"/>
    </row>
    <row r="17" spans="1:29">
      <c r="A17" s="43">
        <v>6</v>
      </c>
      <c r="B17" s="5" t="s">
        <v>28</v>
      </c>
      <c r="C17" s="21">
        <v>6000101341</v>
      </c>
      <c r="D17" s="23" t="s">
        <v>53</v>
      </c>
      <c r="E17" s="1" t="s">
        <v>52</v>
      </c>
      <c r="F17" s="22">
        <v>45681</v>
      </c>
      <c r="G17" s="22">
        <v>45689</v>
      </c>
      <c r="H17" s="23" t="s">
        <v>47</v>
      </c>
      <c r="J17" s="53"/>
      <c r="K17" s="53"/>
      <c r="L17" s="53"/>
      <c r="M17" s="53"/>
      <c r="N17" s="53"/>
      <c r="O17" s="53"/>
      <c r="P17" s="53"/>
      <c r="Q17" s="53"/>
      <c r="R17" s="53"/>
      <c r="T17" s="44"/>
      <c r="U17" s="44"/>
      <c r="V17" s="44"/>
      <c r="W17" s="44"/>
      <c r="X17" s="44"/>
      <c r="Y17" s="44"/>
      <c r="Z17" s="44"/>
      <c r="AA17" s="44"/>
      <c r="AB17" s="44"/>
      <c r="AC17" s="8"/>
    </row>
    <row r="18" spans="1:29">
      <c r="A18" s="43">
        <v>7</v>
      </c>
      <c r="B18" s="5" t="s">
        <v>30</v>
      </c>
      <c r="C18" s="38" t="s">
        <v>35</v>
      </c>
      <c r="D18" s="23" t="s">
        <v>41</v>
      </c>
      <c r="E18" s="4" t="s">
        <v>42</v>
      </c>
      <c r="F18" s="22">
        <v>45684</v>
      </c>
      <c r="G18" s="22">
        <v>45690</v>
      </c>
      <c r="H18" s="21" t="s">
        <v>47</v>
      </c>
      <c r="J18" s="53"/>
      <c r="K18" s="53"/>
      <c r="L18" s="53"/>
      <c r="M18" s="53"/>
      <c r="N18" s="53"/>
      <c r="O18" s="53"/>
      <c r="P18" s="53"/>
      <c r="Q18" s="53"/>
      <c r="R18" s="53"/>
      <c r="T18" s="45"/>
      <c r="U18" s="45"/>
      <c r="V18" s="45"/>
      <c r="W18" s="45"/>
      <c r="X18" s="45"/>
      <c r="Y18" s="45"/>
      <c r="Z18" s="45"/>
      <c r="AA18" s="45"/>
      <c r="AB18" s="45"/>
      <c r="AC18" s="8"/>
    </row>
    <row r="19" spans="1:29">
      <c r="A19" s="43">
        <v>8</v>
      </c>
      <c r="B19" s="5" t="s">
        <v>30</v>
      </c>
      <c r="C19" s="38" t="s">
        <v>36</v>
      </c>
      <c r="D19" s="23" t="s">
        <v>41</v>
      </c>
      <c r="E19" s="4" t="s">
        <v>42</v>
      </c>
      <c r="F19" s="22">
        <v>45684</v>
      </c>
      <c r="G19" s="22">
        <v>45690</v>
      </c>
      <c r="H19" s="21" t="s">
        <v>47</v>
      </c>
      <c r="J19" s="53"/>
      <c r="K19" s="53"/>
      <c r="L19" s="53"/>
      <c r="M19" s="53"/>
      <c r="N19" s="53"/>
      <c r="O19" s="53"/>
      <c r="P19" s="53"/>
      <c r="Q19" s="53"/>
      <c r="R19" s="53"/>
      <c r="T19" s="44"/>
      <c r="U19" s="44"/>
      <c r="V19" s="44"/>
      <c r="W19" s="44"/>
      <c r="X19" s="44"/>
      <c r="Y19" s="44"/>
      <c r="Z19" s="44"/>
      <c r="AA19" s="44"/>
      <c r="AB19" s="44"/>
      <c r="AC19" s="8"/>
    </row>
    <row r="20" spans="1:29">
      <c r="A20" s="43">
        <v>9</v>
      </c>
      <c r="B20" s="5" t="s">
        <v>30</v>
      </c>
      <c r="C20" s="39" t="s">
        <v>37</v>
      </c>
      <c r="D20" s="23" t="s">
        <v>41</v>
      </c>
      <c r="E20" s="4" t="s">
        <v>42</v>
      </c>
      <c r="F20" s="22">
        <v>45685</v>
      </c>
      <c r="G20" s="22">
        <v>45690</v>
      </c>
      <c r="H20" s="23" t="s">
        <v>47</v>
      </c>
      <c r="J20" s="53"/>
      <c r="K20" s="53"/>
      <c r="L20" s="53"/>
      <c r="M20" s="53"/>
      <c r="N20" s="53"/>
      <c r="O20" s="53"/>
      <c r="P20" s="53"/>
      <c r="Q20" s="53"/>
      <c r="R20" s="53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8"/>
    </row>
    <row r="21" spans="1:29">
      <c r="A21" s="43">
        <v>10</v>
      </c>
      <c r="B21" s="5" t="s">
        <v>31</v>
      </c>
      <c r="C21" s="31" t="s">
        <v>38</v>
      </c>
      <c r="D21" s="20" t="s">
        <v>41</v>
      </c>
      <c r="E21" s="27" t="s">
        <v>43</v>
      </c>
      <c r="F21" s="28">
        <v>45684</v>
      </c>
      <c r="G21" s="28">
        <v>45687</v>
      </c>
      <c r="H21" s="21" t="s">
        <v>47</v>
      </c>
      <c r="I21" s="52">
        <v>16192</v>
      </c>
      <c r="J21" s="53"/>
      <c r="K21" s="53"/>
      <c r="L21" s="53"/>
      <c r="M21" s="53"/>
      <c r="N21" s="53"/>
      <c r="O21" s="53"/>
      <c r="P21" s="53"/>
      <c r="Q21" s="53"/>
      <c r="R21" s="53"/>
      <c r="S21" s="45">
        <v>45688</v>
      </c>
      <c r="T21" s="44"/>
      <c r="U21" s="44"/>
      <c r="V21" s="44"/>
      <c r="W21" s="44"/>
      <c r="X21" s="44"/>
      <c r="Y21" s="44"/>
      <c r="Z21" s="44"/>
      <c r="AA21" s="44"/>
      <c r="AB21" s="44"/>
      <c r="AC21" s="19" t="s">
        <v>27</v>
      </c>
    </row>
    <row r="22" spans="1:29">
      <c r="A22" s="43">
        <v>11</v>
      </c>
      <c r="B22" s="5" t="s">
        <v>31</v>
      </c>
      <c r="C22" s="31" t="s">
        <v>39</v>
      </c>
      <c r="D22" s="20" t="s">
        <v>41</v>
      </c>
      <c r="E22" s="27" t="s">
        <v>44</v>
      </c>
      <c r="F22" s="28">
        <v>45685</v>
      </c>
      <c r="G22" s="28">
        <v>45689</v>
      </c>
      <c r="H22" s="21" t="s">
        <v>47</v>
      </c>
      <c r="J22" s="53"/>
      <c r="K22" s="53"/>
      <c r="L22" s="53"/>
      <c r="M22" s="53"/>
      <c r="N22" s="53"/>
      <c r="O22" s="53"/>
      <c r="P22" s="53"/>
      <c r="Q22" s="53"/>
      <c r="R22" s="53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8"/>
    </row>
    <row r="23" spans="1:29">
      <c r="A23" s="43">
        <v>12</v>
      </c>
      <c r="B23" s="5" t="s">
        <v>31</v>
      </c>
      <c r="C23" s="31" t="s">
        <v>40</v>
      </c>
      <c r="D23" s="20" t="s">
        <v>41</v>
      </c>
      <c r="E23" s="27" t="s">
        <v>45</v>
      </c>
      <c r="F23" s="28">
        <v>45685</v>
      </c>
      <c r="G23" s="28">
        <v>45690</v>
      </c>
      <c r="H23" s="21" t="s">
        <v>47</v>
      </c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8"/>
    </row>
    <row r="24" spans="1:29">
      <c r="A24" s="43">
        <v>13</v>
      </c>
      <c r="B24" s="9" t="s">
        <v>95</v>
      </c>
      <c r="C24" s="20" t="s">
        <v>54</v>
      </c>
      <c r="D24" s="20" t="s">
        <v>55</v>
      </c>
      <c r="E24" s="10" t="s">
        <v>56</v>
      </c>
      <c r="F24" s="22">
        <v>45686</v>
      </c>
      <c r="G24" s="28">
        <v>45690</v>
      </c>
      <c r="H24" s="21" t="s">
        <v>47</v>
      </c>
      <c r="I24" s="53">
        <v>5014.8</v>
      </c>
      <c r="J24" s="53"/>
      <c r="K24" s="53"/>
      <c r="L24" s="53"/>
      <c r="M24" s="53"/>
      <c r="N24" s="53"/>
      <c r="O24" s="53"/>
      <c r="P24" s="53"/>
      <c r="Q24" s="53"/>
      <c r="R24" s="53"/>
      <c r="S24" s="45">
        <v>45691</v>
      </c>
      <c r="T24" s="44"/>
      <c r="U24" s="44"/>
      <c r="V24" s="44"/>
      <c r="W24" s="44"/>
      <c r="X24" s="44"/>
      <c r="Y24" s="44"/>
      <c r="Z24" s="44"/>
      <c r="AA24" s="44"/>
      <c r="AB24" s="44"/>
      <c r="AC24" s="19" t="s">
        <v>27</v>
      </c>
    </row>
    <row r="25" spans="1:29">
      <c r="A25" s="43">
        <v>14</v>
      </c>
      <c r="B25" s="5" t="s">
        <v>94</v>
      </c>
      <c r="C25" s="20" t="s">
        <v>58</v>
      </c>
      <c r="D25" s="20" t="s">
        <v>55</v>
      </c>
      <c r="E25" s="10" t="s">
        <v>57</v>
      </c>
      <c r="F25" s="22">
        <v>45686</v>
      </c>
      <c r="G25" s="34" t="s">
        <v>42</v>
      </c>
      <c r="H25" s="21" t="s">
        <v>47</v>
      </c>
      <c r="I25" s="53">
        <v>4944.9799999999996</v>
      </c>
      <c r="J25" s="53">
        <v>4333.3500000000004</v>
      </c>
      <c r="K25" s="53">
        <v>1814</v>
      </c>
      <c r="L25" s="53">
        <v>1239</v>
      </c>
      <c r="M25" s="53">
        <v>6915</v>
      </c>
      <c r="N25" s="53">
        <v>71.5</v>
      </c>
      <c r="O25" s="53"/>
      <c r="P25" s="53"/>
      <c r="Q25" s="53"/>
      <c r="R25" s="53"/>
      <c r="S25" s="45">
        <v>45689</v>
      </c>
      <c r="T25" s="45">
        <v>45689</v>
      </c>
      <c r="U25" s="45">
        <v>45687</v>
      </c>
      <c r="V25" s="45">
        <v>45691</v>
      </c>
      <c r="W25" s="45" t="s">
        <v>116</v>
      </c>
      <c r="X25" s="45">
        <v>45687</v>
      </c>
      <c r="Y25" s="45"/>
      <c r="Z25" s="45"/>
      <c r="AA25" s="45"/>
      <c r="AB25" s="45"/>
      <c r="AC25" s="18" t="s">
        <v>26</v>
      </c>
    </row>
    <row r="26" spans="1:29">
      <c r="A26" s="43">
        <v>15</v>
      </c>
      <c r="B26" s="9" t="s">
        <v>95</v>
      </c>
      <c r="C26" s="20" t="s">
        <v>59</v>
      </c>
      <c r="D26" s="20" t="s">
        <v>55</v>
      </c>
      <c r="E26" s="10" t="s">
        <v>73</v>
      </c>
      <c r="F26" s="22">
        <v>45687</v>
      </c>
      <c r="G26" s="34" t="s">
        <v>42</v>
      </c>
      <c r="H26" s="21" t="s">
        <v>47</v>
      </c>
      <c r="I26" s="53">
        <v>6879.79</v>
      </c>
      <c r="J26" s="53"/>
      <c r="K26" s="53"/>
      <c r="L26" s="53"/>
      <c r="M26" s="53"/>
      <c r="N26" s="53"/>
      <c r="O26" s="53"/>
      <c r="P26" s="53"/>
      <c r="Q26" s="53"/>
      <c r="R26" s="53"/>
      <c r="S26" s="45">
        <v>45688</v>
      </c>
      <c r="T26" s="44"/>
      <c r="U26" s="44"/>
      <c r="V26" s="44"/>
      <c r="W26" s="44"/>
      <c r="X26" s="44"/>
      <c r="Y26" s="44"/>
      <c r="Z26" s="44"/>
      <c r="AA26" s="44"/>
      <c r="AB26" s="44"/>
      <c r="AC26" s="18" t="s">
        <v>26</v>
      </c>
    </row>
    <row r="27" spans="1:29">
      <c r="A27" s="43">
        <v>16</v>
      </c>
      <c r="B27" s="9" t="s">
        <v>95</v>
      </c>
      <c r="C27" s="20" t="s">
        <v>61</v>
      </c>
      <c r="D27" s="20" t="s">
        <v>55</v>
      </c>
      <c r="E27" s="10" t="s">
        <v>60</v>
      </c>
      <c r="F27" s="22">
        <v>45687</v>
      </c>
      <c r="G27" s="34" t="s">
        <v>42</v>
      </c>
      <c r="H27" s="21" t="s">
        <v>47</v>
      </c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8"/>
    </row>
    <row r="28" spans="1:29" ht="24">
      <c r="A28" s="43">
        <v>17</v>
      </c>
      <c r="B28" s="5" t="s">
        <v>94</v>
      </c>
      <c r="C28" s="20" t="s">
        <v>62</v>
      </c>
      <c r="D28" s="20" t="s">
        <v>55</v>
      </c>
      <c r="E28" s="10" t="s">
        <v>63</v>
      </c>
      <c r="F28" s="22">
        <v>45687</v>
      </c>
      <c r="G28" s="34" t="s">
        <v>42</v>
      </c>
      <c r="H28" s="21" t="s">
        <v>47</v>
      </c>
      <c r="I28" s="52">
        <v>15890</v>
      </c>
      <c r="J28" s="53">
        <v>18716.25</v>
      </c>
      <c r="K28" s="53"/>
      <c r="L28" s="53"/>
      <c r="M28" s="53"/>
      <c r="N28" s="53"/>
      <c r="O28" s="53"/>
      <c r="P28" s="53"/>
      <c r="Q28" s="53"/>
      <c r="R28" s="53"/>
      <c r="S28" s="45">
        <v>45688</v>
      </c>
      <c r="T28" s="45">
        <v>45698</v>
      </c>
      <c r="U28" s="44"/>
      <c r="V28" s="44"/>
      <c r="W28" s="44"/>
      <c r="X28" s="44"/>
      <c r="Y28" s="44"/>
      <c r="Z28" s="44"/>
      <c r="AA28" s="44"/>
      <c r="AB28" s="44"/>
      <c r="AC28" s="18" t="s">
        <v>26</v>
      </c>
    </row>
    <row r="29" spans="1:29">
      <c r="A29" s="43">
        <v>18</v>
      </c>
      <c r="B29" s="9" t="s">
        <v>95</v>
      </c>
      <c r="C29" s="20" t="s">
        <v>67</v>
      </c>
      <c r="D29" s="20" t="s">
        <v>55</v>
      </c>
      <c r="E29" s="10" t="s">
        <v>68</v>
      </c>
      <c r="F29" s="22">
        <v>45687</v>
      </c>
      <c r="G29" s="22">
        <v>45321</v>
      </c>
      <c r="H29" s="21" t="s">
        <v>47</v>
      </c>
      <c r="I29" s="52">
        <v>34038.46</v>
      </c>
      <c r="J29" s="53"/>
      <c r="K29" s="53"/>
      <c r="L29" s="53"/>
      <c r="M29" s="53"/>
      <c r="N29" s="53"/>
      <c r="O29" s="53"/>
      <c r="P29" s="53"/>
      <c r="Q29" s="53"/>
      <c r="R29" s="53"/>
      <c r="S29" s="22">
        <v>45321</v>
      </c>
      <c r="T29" s="44"/>
      <c r="U29" s="44"/>
      <c r="V29" s="44"/>
      <c r="W29" s="44"/>
      <c r="X29" s="44"/>
      <c r="Y29" s="44"/>
      <c r="Z29" s="44"/>
      <c r="AA29" s="44"/>
      <c r="AB29" s="44"/>
      <c r="AC29" s="18" t="s">
        <v>26</v>
      </c>
    </row>
    <row r="30" spans="1:29">
      <c r="A30" s="43">
        <v>19</v>
      </c>
      <c r="B30" s="9" t="s">
        <v>95</v>
      </c>
      <c r="C30" s="20" t="s">
        <v>69</v>
      </c>
      <c r="D30" s="20" t="s">
        <v>55</v>
      </c>
      <c r="E30" s="10" t="s">
        <v>70</v>
      </c>
      <c r="F30" s="22">
        <v>45688</v>
      </c>
      <c r="G30" s="22">
        <v>45322</v>
      </c>
      <c r="H30" s="21" t="s">
        <v>47</v>
      </c>
      <c r="I30" s="52">
        <v>62494.87</v>
      </c>
      <c r="J30" s="53"/>
      <c r="K30" s="53"/>
      <c r="L30" s="53"/>
      <c r="M30" s="53"/>
      <c r="N30" s="53"/>
      <c r="O30" s="53"/>
      <c r="P30" s="53"/>
      <c r="Q30" s="53"/>
      <c r="R30" s="53"/>
      <c r="S30" s="45">
        <v>45688</v>
      </c>
      <c r="T30" s="44"/>
      <c r="U30" s="44"/>
      <c r="V30" s="44"/>
      <c r="W30" s="44"/>
      <c r="X30" s="44"/>
      <c r="Y30" s="44"/>
      <c r="Z30" s="44"/>
      <c r="AA30" s="44"/>
      <c r="AB30" s="44"/>
      <c r="AC30" s="18" t="s">
        <v>26</v>
      </c>
    </row>
    <row r="31" spans="1:29">
      <c r="A31" s="43">
        <v>20</v>
      </c>
      <c r="B31" s="9"/>
      <c r="C31" s="20" t="s">
        <v>64</v>
      </c>
      <c r="D31" s="20" t="s">
        <v>65</v>
      </c>
      <c r="E31" s="10" t="s">
        <v>66</v>
      </c>
      <c r="F31" s="22">
        <v>45688</v>
      </c>
      <c r="G31" s="34" t="s">
        <v>42</v>
      </c>
      <c r="H31" s="21" t="s">
        <v>47</v>
      </c>
      <c r="J31" s="53"/>
      <c r="K31" s="53"/>
      <c r="L31" s="53"/>
      <c r="M31" s="53"/>
      <c r="N31" s="53"/>
      <c r="O31" s="53"/>
      <c r="P31" s="53"/>
      <c r="Q31" s="53"/>
      <c r="R31" s="53"/>
      <c r="S31" s="45"/>
      <c r="T31" s="44"/>
      <c r="U31" s="44"/>
      <c r="V31" s="44"/>
      <c r="W31" s="44"/>
      <c r="X31" s="44"/>
      <c r="Y31" s="44"/>
      <c r="Z31" s="44"/>
      <c r="AA31" s="44"/>
      <c r="AB31" s="44"/>
      <c r="AC31" s="8"/>
    </row>
    <row r="32" spans="1:29">
      <c r="A32" s="43">
        <v>21</v>
      </c>
      <c r="B32" s="5" t="s">
        <v>94</v>
      </c>
      <c r="C32" s="20" t="s">
        <v>71</v>
      </c>
      <c r="D32" s="20" t="s">
        <v>55</v>
      </c>
      <c r="E32" s="10" t="s">
        <v>72</v>
      </c>
      <c r="F32" s="22">
        <v>45688</v>
      </c>
      <c r="G32" s="34" t="s">
        <v>42</v>
      </c>
      <c r="H32" s="21" t="s">
        <v>47</v>
      </c>
      <c r="I32" s="52">
        <v>714525.27</v>
      </c>
      <c r="J32" s="53"/>
      <c r="K32" s="53"/>
      <c r="L32" s="53"/>
      <c r="M32" s="53"/>
      <c r="N32" s="53"/>
      <c r="O32" s="53"/>
      <c r="P32" s="53"/>
      <c r="Q32" s="53"/>
      <c r="R32" s="53"/>
      <c r="S32" s="45">
        <v>45691</v>
      </c>
      <c r="T32" s="44"/>
      <c r="U32" s="44"/>
      <c r="V32" s="44"/>
      <c r="W32" s="44"/>
      <c r="X32" s="44"/>
      <c r="Y32" s="44"/>
      <c r="Z32" s="44"/>
      <c r="AA32" s="44"/>
      <c r="AB32" s="44"/>
      <c r="AC32" s="18" t="s">
        <v>26</v>
      </c>
    </row>
    <row r="33" spans="1:29">
      <c r="A33" s="43">
        <v>22</v>
      </c>
      <c r="B33" s="5" t="s">
        <v>91</v>
      </c>
      <c r="C33" s="20" t="s">
        <v>74</v>
      </c>
      <c r="D33" s="20" t="s">
        <v>55</v>
      </c>
      <c r="E33" s="10" t="s">
        <v>75</v>
      </c>
      <c r="F33" s="22">
        <v>45691</v>
      </c>
      <c r="G33" s="22">
        <v>45692</v>
      </c>
      <c r="H33" s="21" t="s">
        <v>47</v>
      </c>
      <c r="I33" s="56">
        <v>441000</v>
      </c>
      <c r="J33" s="56">
        <v>683.56</v>
      </c>
      <c r="K33" s="53"/>
      <c r="L33" s="53"/>
      <c r="M33" s="53"/>
      <c r="N33" s="53"/>
      <c r="O33" s="53"/>
      <c r="P33" s="53"/>
      <c r="Q33" s="53"/>
      <c r="R33" s="53"/>
      <c r="S33" s="45">
        <v>45692</v>
      </c>
      <c r="T33" s="45">
        <v>45695</v>
      </c>
      <c r="U33" s="44"/>
      <c r="V33" s="44"/>
      <c r="W33" s="44"/>
      <c r="X33" s="44"/>
      <c r="Y33" s="44"/>
      <c r="Z33" s="44"/>
      <c r="AA33" s="44"/>
      <c r="AB33" s="44"/>
      <c r="AC33" s="18" t="s">
        <v>26</v>
      </c>
    </row>
    <row r="34" spans="1:29">
      <c r="A34" s="43">
        <v>23</v>
      </c>
      <c r="B34" s="9"/>
      <c r="C34" s="35" t="s">
        <v>76</v>
      </c>
      <c r="D34" s="20" t="s">
        <v>55</v>
      </c>
      <c r="E34" s="10" t="s">
        <v>77</v>
      </c>
      <c r="F34" s="22">
        <v>45691</v>
      </c>
      <c r="G34" s="22"/>
      <c r="H34" s="21" t="s">
        <v>47</v>
      </c>
      <c r="J34" s="53"/>
      <c r="K34" s="53"/>
      <c r="L34" s="53"/>
      <c r="M34" s="53"/>
      <c r="N34" s="53"/>
      <c r="O34" s="53"/>
      <c r="P34" s="53"/>
      <c r="Q34" s="53"/>
      <c r="R34" s="53"/>
      <c r="S34" s="46"/>
      <c r="T34" s="44"/>
      <c r="U34" s="44"/>
      <c r="V34" s="44"/>
      <c r="W34" s="44"/>
      <c r="X34" s="44"/>
      <c r="Y34" s="44"/>
      <c r="Z34" s="44"/>
      <c r="AA34" s="44"/>
      <c r="AB34" s="44"/>
      <c r="AC34" s="8"/>
    </row>
    <row r="35" spans="1:29" ht="28.5" customHeight="1">
      <c r="A35" s="43">
        <v>24</v>
      </c>
      <c r="B35" s="9" t="s">
        <v>96</v>
      </c>
      <c r="C35" s="20" t="s">
        <v>78</v>
      </c>
      <c r="D35" s="20" t="s">
        <v>55</v>
      </c>
      <c r="E35" s="10" t="s">
        <v>79</v>
      </c>
      <c r="F35" s="22">
        <v>45691</v>
      </c>
      <c r="G35" s="22">
        <v>45693</v>
      </c>
      <c r="H35" s="21" t="s">
        <v>47</v>
      </c>
      <c r="AC35" s="8"/>
    </row>
    <row r="36" spans="1:29" ht="15" customHeight="1">
      <c r="A36" s="43">
        <v>25</v>
      </c>
      <c r="B36" s="9" t="s">
        <v>97</v>
      </c>
      <c r="C36" s="20" t="s">
        <v>80</v>
      </c>
      <c r="D36" s="20" t="s">
        <v>81</v>
      </c>
      <c r="E36" s="10" t="s">
        <v>42</v>
      </c>
      <c r="F36" s="22">
        <v>45693</v>
      </c>
      <c r="G36" s="22">
        <v>45698</v>
      </c>
      <c r="H36" s="21" t="s">
        <v>47</v>
      </c>
      <c r="AC36" s="8"/>
    </row>
    <row r="37" spans="1:29">
      <c r="A37" s="43">
        <v>26</v>
      </c>
      <c r="B37" s="9" t="s">
        <v>97</v>
      </c>
      <c r="C37" s="20" t="s">
        <v>82</v>
      </c>
      <c r="D37" s="20" t="s">
        <v>81</v>
      </c>
      <c r="E37" s="10" t="s">
        <v>42</v>
      </c>
      <c r="F37" s="22">
        <v>45693</v>
      </c>
      <c r="G37" s="22">
        <v>45698</v>
      </c>
      <c r="H37" s="21" t="s">
        <v>47</v>
      </c>
      <c r="AC37" s="8"/>
    </row>
    <row r="38" spans="1:29">
      <c r="A38" s="43">
        <v>27</v>
      </c>
      <c r="B38" s="9" t="s">
        <v>97</v>
      </c>
      <c r="C38" s="20" t="s">
        <v>83</v>
      </c>
      <c r="D38" s="20" t="s">
        <v>81</v>
      </c>
      <c r="E38" s="10" t="s">
        <v>42</v>
      </c>
      <c r="F38" s="22">
        <v>45693</v>
      </c>
      <c r="G38" s="22">
        <v>45698</v>
      </c>
      <c r="H38" s="21" t="s">
        <v>47</v>
      </c>
      <c r="AC38" s="8"/>
    </row>
    <row r="39" spans="1:29" s="11" customFormat="1">
      <c r="A39" s="43">
        <v>28</v>
      </c>
      <c r="B39" s="9" t="s">
        <v>97</v>
      </c>
      <c r="C39" s="20" t="s">
        <v>84</v>
      </c>
      <c r="D39" s="20" t="s">
        <v>81</v>
      </c>
      <c r="E39" s="10" t="s">
        <v>42</v>
      </c>
      <c r="F39" s="22">
        <v>45693</v>
      </c>
      <c r="G39" s="22">
        <v>45698</v>
      </c>
      <c r="H39" s="21" t="s">
        <v>47</v>
      </c>
      <c r="I39" s="57">
        <v>11245.5</v>
      </c>
      <c r="J39" s="57"/>
      <c r="K39" s="57"/>
      <c r="L39" s="57"/>
      <c r="M39" s="57"/>
      <c r="N39" s="57"/>
      <c r="O39" s="57"/>
      <c r="P39" s="57"/>
      <c r="Q39" s="57"/>
      <c r="R39" s="57"/>
      <c r="S39" s="48">
        <v>45694</v>
      </c>
      <c r="T39" s="47"/>
      <c r="U39" s="47"/>
      <c r="V39" s="47"/>
      <c r="W39" s="47"/>
      <c r="X39" s="47"/>
      <c r="Y39" s="47"/>
      <c r="Z39" s="47"/>
      <c r="AA39" s="47"/>
      <c r="AB39" s="47"/>
      <c r="AC39" s="18" t="s">
        <v>26</v>
      </c>
    </row>
    <row r="40" spans="1:29" ht="24">
      <c r="A40" s="43">
        <v>29</v>
      </c>
      <c r="B40" s="9" t="s">
        <v>95</v>
      </c>
      <c r="C40" s="20" t="s">
        <v>85</v>
      </c>
      <c r="D40" s="20" t="s">
        <v>55</v>
      </c>
      <c r="E40" s="10" t="s">
        <v>86</v>
      </c>
      <c r="F40" s="22">
        <v>45693</v>
      </c>
      <c r="G40" s="22">
        <v>45698</v>
      </c>
      <c r="H40" s="21" t="s">
        <v>47</v>
      </c>
      <c r="I40" s="52">
        <v>47000</v>
      </c>
      <c r="J40" s="52">
        <v>2131.5</v>
      </c>
      <c r="K40" s="52">
        <v>32240</v>
      </c>
      <c r="L40" s="58">
        <v>16317</v>
      </c>
      <c r="M40" s="52">
        <v>27300</v>
      </c>
      <c r="N40" s="52">
        <v>2093.3200000000002</v>
      </c>
      <c r="S40" s="46">
        <v>45695</v>
      </c>
      <c r="T40" s="46">
        <v>45695</v>
      </c>
      <c r="U40" s="46">
        <v>45694</v>
      </c>
      <c r="V40" s="46">
        <v>45695</v>
      </c>
      <c r="W40" s="46">
        <v>45697</v>
      </c>
      <c r="X40" s="46">
        <v>45695</v>
      </c>
      <c r="Y40" s="46"/>
      <c r="Z40" s="46"/>
      <c r="AA40" s="46"/>
      <c r="AB40" s="46"/>
      <c r="AC40" s="18" t="s">
        <v>26</v>
      </c>
    </row>
    <row r="41" spans="1:29">
      <c r="A41" s="43">
        <v>30</v>
      </c>
      <c r="B41" s="9" t="s">
        <v>88</v>
      </c>
      <c r="C41" s="20">
        <v>2012500682</v>
      </c>
      <c r="D41" s="23" t="s">
        <v>41</v>
      </c>
      <c r="E41" s="10" t="s">
        <v>87</v>
      </c>
      <c r="F41" s="22">
        <v>45693</v>
      </c>
      <c r="G41" s="22">
        <v>45695</v>
      </c>
      <c r="H41" s="21" t="s">
        <v>47</v>
      </c>
      <c r="I41" s="52">
        <v>4700</v>
      </c>
      <c r="S41" s="46">
        <v>45694</v>
      </c>
      <c r="AC41" s="18" t="s">
        <v>26</v>
      </c>
    </row>
    <row r="42" spans="1:29">
      <c r="A42" s="43">
        <v>31</v>
      </c>
      <c r="B42" s="9" t="s">
        <v>88</v>
      </c>
      <c r="C42" s="32">
        <v>2012500711</v>
      </c>
      <c r="D42" s="23" t="s">
        <v>41</v>
      </c>
      <c r="E42" s="12" t="s">
        <v>89</v>
      </c>
      <c r="F42" s="22">
        <v>45693</v>
      </c>
      <c r="G42" s="22">
        <v>45698</v>
      </c>
      <c r="H42" s="21" t="s">
        <v>47</v>
      </c>
      <c r="I42" s="52">
        <v>2597.92</v>
      </c>
      <c r="S42" s="46">
        <v>45695</v>
      </c>
      <c r="T42" s="44"/>
      <c r="U42" s="44"/>
      <c r="V42" s="44"/>
      <c r="W42" s="44"/>
      <c r="X42" s="44"/>
      <c r="Y42" s="44"/>
      <c r="Z42" s="44"/>
      <c r="AA42" s="44"/>
      <c r="AB42" s="44"/>
      <c r="AC42" s="18" t="s">
        <v>26</v>
      </c>
    </row>
    <row r="43" spans="1:29">
      <c r="A43" s="43">
        <v>32</v>
      </c>
      <c r="B43" s="5" t="s">
        <v>91</v>
      </c>
      <c r="C43" s="33" t="s">
        <v>92</v>
      </c>
      <c r="D43" s="20" t="s">
        <v>55</v>
      </c>
      <c r="E43" s="13" t="s">
        <v>90</v>
      </c>
      <c r="F43" s="37">
        <v>45694</v>
      </c>
      <c r="G43" s="22" t="s">
        <v>42</v>
      </c>
      <c r="H43" s="21" t="s">
        <v>47</v>
      </c>
      <c r="S43" s="46"/>
      <c r="T43" s="44"/>
      <c r="U43" s="44"/>
      <c r="V43" s="44"/>
      <c r="W43" s="44"/>
      <c r="X43" s="44"/>
      <c r="Y43" s="44"/>
      <c r="Z43" s="44"/>
      <c r="AA43" s="44"/>
      <c r="AB43" s="44"/>
      <c r="AC43" s="8"/>
    </row>
    <row r="44" spans="1:29" ht="24">
      <c r="A44" s="43">
        <v>33</v>
      </c>
      <c r="B44" s="5" t="s">
        <v>94</v>
      </c>
      <c r="C44" s="32" t="s">
        <v>93</v>
      </c>
      <c r="D44" s="20" t="s">
        <v>55</v>
      </c>
      <c r="E44" s="12" t="s">
        <v>104</v>
      </c>
      <c r="F44" s="22">
        <v>45695</v>
      </c>
      <c r="G44" s="22" t="s">
        <v>42</v>
      </c>
      <c r="H44" s="21" t="s">
        <v>47</v>
      </c>
      <c r="I44" s="52">
        <v>128570.55</v>
      </c>
      <c r="J44" s="52">
        <v>104642</v>
      </c>
      <c r="S44" s="46">
        <v>45698</v>
      </c>
      <c r="T44" s="46">
        <v>45699</v>
      </c>
      <c r="U44" s="46"/>
      <c r="V44" s="46"/>
      <c r="W44" s="46"/>
      <c r="X44" s="46"/>
      <c r="Y44" s="46"/>
      <c r="Z44" s="46"/>
      <c r="AA44" s="46"/>
      <c r="AB44" s="46"/>
      <c r="AC44" s="18" t="s">
        <v>26</v>
      </c>
    </row>
    <row r="45" spans="1:29">
      <c r="A45" s="43">
        <v>34</v>
      </c>
      <c r="B45" s="5" t="s">
        <v>28</v>
      </c>
      <c r="C45" s="33" t="s">
        <v>98</v>
      </c>
      <c r="D45" s="20" t="s">
        <v>55</v>
      </c>
      <c r="E45" s="13" t="s">
        <v>99</v>
      </c>
      <c r="F45" s="22">
        <v>45695</v>
      </c>
      <c r="G45" s="22" t="s">
        <v>42</v>
      </c>
      <c r="H45" s="21" t="s">
        <v>47</v>
      </c>
      <c r="I45" s="52">
        <v>25344</v>
      </c>
      <c r="S45" s="46">
        <v>45698</v>
      </c>
      <c r="AC45" s="18" t="s">
        <v>26</v>
      </c>
    </row>
    <row r="46" spans="1:29" ht="24">
      <c r="A46" s="43">
        <v>35</v>
      </c>
      <c r="B46" s="5" t="s">
        <v>94</v>
      </c>
      <c r="C46" s="33" t="s">
        <v>100</v>
      </c>
      <c r="D46" s="20" t="s">
        <v>55</v>
      </c>
      <c r="E46" s="13" t="s">
        <v>101</v>
      </c>
      <c r="F46" s="22">
        <v>45695</v>
      </c>
      <c r="G46" s="22" t="s">
        <v>42</v>
      </c>
      <c r="H46" s="21" t="s">
        <v>47</v>
      </c>
      <c r="I46" s="52">
        <v>21.37</v>
      </c>
      <c r="J46" s="52">
        <v>1197.1600000000001</v>
      </c>
      <c r="K46" s="52">
        <v>2221.86</v>
      </c>
      <c r="L46" s="52">
        <v>1436.13</v>
      </c>
      <c r="S46" s="46">
        <v>45695</v>
      </c>
      <c r="T46" s="46">
        <v>45698</v>
      </c>
      <c r="U46" s="46">
        <v>45700</v>
      </c>
      <c r="V46" s="46">
        <v>45698</v>
      </c>
      <c r="W46" s="46"/>
      <c r="X46" s="46"/>
      <c r="Y46" s="46"/>
      <c r="Z46" s="46"/>
      <c r="AA46" s="46"/>
      <c r="AB46" s="46"/>
      <c r="AC46" s="18" t="s">
        <v>26</v>
      </c>
    </row>
    <row r="47" spans="1:29">
      <c r="A47" s="43">
        <v>36</v>
      </c>
      <c r="B47" s="5" t="s">
        <v>94</v>
      </c>
      <c r="C47" s="33" t="s">
        <v>102</v>
      </c>
      <c r="D47" s="20" t="s">
        <v>55</v>
      </c>
      <c r="E47" s="36" t="s">
        <v>103</v>
      </c>
      <c r="F47" s="22">
        <v>45698</v>
      </c>
      <c r="G47" s="22" t="s">
        <v>42</v>
      </c>
      <c r="H47" s="21" t="s">
        <v>47</v>
      </c>
      <c r="I47" s="52">
        <v>105</v>
      </c>
      <c r="J47" s="52">
        <v>1049</v>
      </c>
      <c r="K47" s="52">
        <v>100</v>
      </c>
      <c r="S47" s="46">
        <v>45698</v>
      </c>
      <c r="T47" s="46">
        <v>45700</v>
      </c>
      <c r="U47" s="46">
        <v>45700</v>
      </c>
      <c r="AC47" s="18" t="s">
        <v>26</v>
      </c>
    </row>
    <row r="48" spans="1:29">
      <c r="A48" s="43">
        <v>37</v>
      </c>
      <c r="B48" s="5" t="s">
        <v>94</v>
      </c>
      <c r="C48" s="23" t="s">
        <v>105</v>
      </c>
      <c r="D48" s="20" t="s">
        <v>55</v>
      </c>
      <c r="E48" s="36" t="s">
        <v>106</v>
      </c>
      <c r="F48" s="22">
        <v>45699</v>
      </c>
      <c r="G48" s="22">
        <v>45701</v>
      </c>
      <c r="H48" s="21" t="s">
        <v>47</v>
      </c>
      <c r="AC48" s="8"/>
    </row>
    <row r="49" spans="1:29">
      <c r="A49" s="43">
        <v>38</v>
      </c>
      <c r="B49" s="5" t="s">
        <v>107</v>
      </c>
      <c r="C49" s="23" t="s">
        <v>108</v>
      </c>
      <c r="D49" s="23" t="s">
        <v>81</v>
      </c>
      <c r="E49" s="15" t="s">
        <v>112</v>
      </c>
      <c r="F49" s="22">
        <v>45699</v>
      </c>
      <c r="G49" s="22">
        <v>45705</v>
      </c>
      <c r="H49" s="21" t="s">
        <v>47</v>
      </c>
      <c r="I49" s="52">
        <v>5247.67</v>
      </c>
      <c r="J49" s="59"/>
      <c r="S49" s="46">
        <v>45701</v>
      </c>
      <c r="AC49" s="18" t="s">
        <v>26</v>
      </c>
    </row>
    <row r="50" spans="1:29">
      <c r="A50" s="43">
        <v>39</v>
      </c>
      <c r="B50" s="5" t="s">
        <v>107</v>
      </c>
      <c r="C50" s="23" t="s">
        <v>109</v>
      </c>
      <c r="D50" s="23" t="s">
        <v>81</v>
      </c>
      <c r="E50" s="15" t="s">
        <v>113</v>
      </c>
      <c r="F50" s="22">
        <v>45699</v>
      </c>
      <c r="G50" s="22">
        <v>45705</v>
      </c>
      <c r="H50" s="21" t="s">
        <v>47</v>
      </c>
      <c r="AC50" s="8"/>
    </row>
    <row r="51" spans="1:29">
      <c r="A51" s="43">
        <v>40</v>
      </c>
      <c r="B51" s="5" t="s">
        <v>107</v>
      </c>
      <c r="C51" s="23" t="s">
        <v>110</v>
      </c>
      <c r="D51" s="23" t="s">
        <v>81</v>
      </c>
      <c r="E51" s="15" t="s">
        <v>114</v>
      </c>
      <c r="F51" s="22">
        <v>45699</v>
      </c>
      <c r="G51" s="22">
        <v>45705</v>
      </c>
      <c r="H51" s="21" t="s">
        <v>47</v>
      </c>
      <c r="AC51" s="8"/>
    </row>
    <row r="52" spans="1:29">
      <c r="A52" s="43">
        <v>41</v>
      </c>
      <c r="B52" s="5" t="s">
        <v>107</v>
      </c>
      <c r="C52" s="23" t="s">
        <v>111</v>
      </c>
      <c r="D52" s="23" t="s">
        <v>81</v>
      </c>
      <c r="E52" s="15" t="s">
        <v>115</v>
      </c>
      <c r="F52" s="22">
        <v>45699</v>
      </c>
      <c r="G52" s="22">
        <v>45705</v>
      </c>
      <c r="H52" s="21" t="s">
        <v>47</v>
      </c>
      <c r="AC52" s="8"/>
    </row>
    <row r="53" spans="1:29" ht="24">
      <c r="A53" s="43">
        <v>42</v>
      </c>
      <c r="B53" s="5" t="s">
        <v>94</v>
      </c>
      <c r="C53" s="23" t="s">
        <v>123</v>
      </c>
      <c r="D53" s="23" t="s">
        <v>55</v>
      </c>
      <c r="E53" s="36" t="s">
        <v>124</v>
      </c>
      <c r="F53" s="22">
        <v>45701</v>
      </c>
      <c r="G53" s="22">
        <v>45708</v>
      </c>
      <c r="H53" s="21" t="s">
        <v>47</v>
      </c>
      <c r="I53" s="52">
        <v>10050</v>
      </c>
      <c r="S53" s="46">
        <v>45706</v>
      </c>
      <c r="AC53" s="18" t="s">
        <v>26</v>
      </c>
    </row>
    <row r="54" spans="1:29">
      <c r="A54" s="43">
        <v>43</v>
      </c>
      <c r="B54" s="5" t="s">
        <v>97</v>
      </c>
      <c r="C54" s="23" t="s">
        <v>125</v>
      </c>
      <c r="D54" s="23" t="s">
        <v>81</v>
      </c>
      <c r="E54" s="14" t="s">
        <v>42</v>
      </c>
      <c r="F54" s="22">
        <v>45708</v>
      </c>
      <c r="G54" s="22">
        <v>45710</v>
      </c>
      <c r="H54" s="21" t="s">
        <v>47</v>
      </c>
      <c r="AC54" s="8"/>
    </row>
    <row r="55" spans="1:29">
      <c r="A55" s="43">
        <v>44</v>
      </c>
      <c r="B55" s="5" t="s">
        <v>97</v>
      </c>
      <c r="C55" s="23" t="s">
        <v>126</v>
      </c>
      <c r="D55" s="23" t="s">
        <v>81</v>
      </c>
      <c r="E55" s="14" t="s">
        <v>42</v>
      </c>
      <c r="F55" s="22">
        <v>45708</v>
      </c>
      <c r="G55" s="22">
        <v>45710</v>
      </c>
      <c r="H55" s="21" t="s">
        <v>47</v>
      </c>
      <c r="I55" s="52">
        <v>330.75</v>
      </c>
      <c r="J55" s="52">
        <v>11180.13</v>
      </c>
      <c r="S55" s="46">
        <v>45709</v>
      </c>
      <c r="T55" s="46">
        <v>45710</v>
      </c>
      <c r="AC55" s="18" t="s">
        <v>26</v>
      </c>
    </row>
    <row r="56" spans="1:29">
      <c r="A56" s="43">
        <v>45</v>
      </c>
      <c r="B56" s="5" t="s">
        <v>97</v>
      </c>
      <c r="C56" s="23" t="s">
        <v>127</v>
      </c>
      <c r="D56" s="23" t="s">
        <v>81</v>
      </c>
      <c r="E56" s="14" t="s">
        <v>42</v>
      </c>
      <c r="F56" s="22">
        <v>45708</v>
      </c>
      <c r="G56" s="22">
        <v>45710</v>
      </c>
      <c r="H56" s="21" t="s">
        <v>47</v>
      </c>
      <c r="I56" s="52">
        <v>56</v>
      </c>
      <c r="J56" s="52">
        <v>60</v>
      </c>
      <c r="S56" s="46">
        <v>45709</v>
      </c>
      <c r="T56" s="46">
        <v>45709</v>
      </c>
      <c r="AC56" s="18" t="s">
        <v>26</v>
      </c>
    </row>
    <row r="57" spans="1:29">
      <c r="A57" s="43">
        <v>46</v>
      </c>
      <c r="B57" s="5" t="s">
        <v>95</v>
      </c>
      <c r="C57" s="23" t="s">
        <v>128</v>
      </c>
      <c r="D57" s="23" t="s">
        <v>55</v>
      </c>
      <c r="E57" s="36" t="s">
        <v>129</v>
      </c>
      <c r="F57" s="22">
        <v>45708</v>
      </c>
      <c r="G57" s="22"/>
      <c r="H57" s="21" t="s">
        <v>47</v>
      </c>
      <c r="I57" s="52">
        <v>1983.15</v>
      </c>
      <c r="J57" s="52">
        <v>5705.3</v>
      </c>
      <c r="K57" s="52">
        <v>5145</v>
      </c>
      <c r="L57" s="52">
        <v>8736.8700000000008</v>
      </c>
      <c r="M57" s="52">
        <v>8079.5</v>
      </c>
      <c r="S57" s="46">
        <v>45709</v>
      </c>
      <c r="T57" s="46">
        <v>45709</v>
      </c>
      <c r="U57" s="46">
        <v>45710</v>
      </c>
      <c r="V57" s="46">
        <v>45712</v>
      </c>
      <c r="W57" s="46">
        <v>45714</v>
      </c>
      <c r="AC57" s="18" t="s">
        <v>26</v>
      </c>
    </row>
    <row r="58" spans="1:29" ht="24">
      <c r="A58" s="43">
        <v>47</v>
      </c>
      <c r="B58" s="5" t="s">
        <v>95</v>
      </c>
      <c r="C58" s="23" t="s">
        <v>131</v>
      </c>
      <c r="D58" s="23" t="s">
        <v>55</v>
      </c>
      <c r="E58" s="36" t="s">
        <v>130</v>
      </c>
      <c r="F58" s="22">
        <v>45708</v>
      </c>
      <c r="G58" s="22"/>
      <c r="H58" s="21" t="s">
        <v>47</v>
      </c>
      <c r="I58" s="52">
        <v>609</v>
      </c>
      <c r="S58" s="46">
        <v>45710</v>
      </c>
      <c r="AC58" s="18" t="s">
        <v>26</v>
      </c>
    </row>
    <row r="59" spans="1:29" ht="24">
      <c r="A59" s="43">
        <v>48</v>
      </c>
      <c r="B59" s="5" t="s">
        <v>95</v>
      </c>
      <c r="C59" s="23" t="s">
        <v>133</v>
      </c>
      <c r="D59" s="23" t="s">
        <v>55</v>
      </c>
      <c r="E59" s="36" t="s">
        <v>132</v>
      </c>
      <c r="F59" s="22">
        <v>45708</v>
      </c>
      <c r="G59" s="22"/>
      <c r="H59" s="21" t="s">
        <v>47</v>
      </c>
    </row>
    <row r="60" spans="1:29">
      <c r="A60" s="43">
        <v>49</v>
      </c>
      <c r="B60" s="5" t="s">
        <v>94</v>
      </c>
      <c r="C60" s="23" t="s">
        <v>134</v>
      </c>
      <c r="D60" s="23" t="s">
        <v>55</v>
      </c>
      <c r="E60" s="36" t="s">
        <v>135</v>
      </c>
      <c r="F60" s="22">
        <v>45712</v>
      </c>
      <c r="G60" s="22">
        <v>45713</v>
      </c>
      <c r="H60" s="21" t="s">
        <v>47</v>
      </c>
      <c r="I60" s="52">
        <v>1195</v>
      </c>
      <c r="J60" s="52">
        <v>121425.25</v>
      </c>
      <c r="K60" s="52">
        <v>22260</v>
      </c>
      <c r="L60" s="52">
        <v>9620</v>
      </c>
      <c r="M60" s="52">
        <v>4740</v>
      </c>
      <c r="S60" s="46">
        <v>45713</v>
      </c>
      <c r="T60" s="46">
        <v>45713</v>
      </c>
      <c r="U60" s="46">
        <v>45713</v>
      </c>
      <c r="V60" s="46">
        <v>45713</v>
      </c>
      <c r="AC60" s="18" t="s">
        <v>26</v>
      </c>
    </row>
    <row r="61" spans="1:29">
      <c r="A61" s="43">
        <v>50</v>
      </c>
      <c r="B61" s="5" t="s">
        <v>94</v>
      </c>
      <c r="C61" s="23" t="s">
        <v>136</v>
      </c>
      <c r="D61" s="23" t="s">
        <v>55</v>
      </c>
      <c r="E61" s="36" t="s">
        <v>137</v>
      </c>
      <c r="F61" s="22">
        <v>45714</v>
      </c>
      <c r="G61" s="22"/>
      <c r="H61" s="21" t="s">
        <v>47</v>
      </c>
      <c r="I61" s="52">
        <v>69693.75</v>
      </c>
      <c r="J61" s="52">
        <v>45598.73</v>
      </c>
      <c r="S61" s="46">
        <v>45715</v>
      </c>
      <c r="T61" s="46">
        <v>45716</v>
      </c>
      <c r="AC61" s="18" t="s">
        <v>26</v>
      </c>
    </row>
    <row r="62" spans="1:29">
      <c r="A62" s="43">
        <v>51</v>
      </c>
      <c r="B62" s="5" t="s">
        <v>95</v>
      </c>
      <c r="C62" s="23" t="s">
        <v>139</v>
      </c>
      <c r="D62" s="23" t="s">
        <v>55</v>
      </c>
      <c r="E62" s="36" t="s">
        <v>141</v>
      </c>
      <c r="F62" s="22">
        <v>45714</v>
      </c>
      <c r="G62" s="22"/>
      <c r="H62" s="21" t="s">
        <v>47</v>
      </c>
      <c r="S62" s="46"/>
    </row>
    <row r="63" spans="1:29">
      <c r="A63" s="43">
        <v>52</v>
      </c>
      <c r="B63" s="5" t="s">
        <v>95</v>
      </c>
      <c r="C63" s="23" t="s">
        <v>138</v>
      </c>
      <c r="D63" s="23" t="s">
        <v>55</v>
      </c>
      <c r="E63" s="36" t="s">
        <v>140</v>
      </c>
      <c r="F63" s="22">
        <v>45714</v>
      </c>
      <c r="G63" s="22"/>
      <c r="H63" s="21" t="s">
        <v>47</v>
      </c>
      <c r="I63" s="52">
        <v>10730.07</v>
      </c>
      <c r="S63" s="46">
        <v>45715</v>
      </c>
      <c r="AC63" s="18" t="s">
        <v>26</v>
      </c>
    </row>
    <row r="64" spans="1:29">
      <c r="A64" s="43">
        <v>53</v>
      </c>
      <c r="B64" s="5" t="s">
        <v>95</v>
      </c>
      <c r="C64" s="23" t="s">
        <v>142</v>
      </c>
      <c r="D64" s="23" t="s">
        <v>55</v>
      </c>
      <c r="E64" s="4" t="s">
        <v>143</v>
      </c>
      <c r="F64" s="22">
        <v>45714</v>
      </c>
      <c r="G64" s="23"/>
      <c r="H64" s="21" t="s">
        <v>47</v>
      </c>
      <c r="I64" s="52">
        <v>9750</v>
      </c>
      <c r="J64" s="52">
        <v>11850</v>
      </c>
      <c r="S64" s="46">
        <v>45714</v>
      </c>
      <c r="T64" s="46">
        <v>45714</v>
      </c>
      <c r="AC64" s="18" t="s">
        <v>26</v>
      </c>
    </row>
    <row r="65" spans="1:29">
      <c r="A65" s="43">
        <v>54</v>
      </c>
      <c r="B65" s="5" t="s">
        <v>94</v>
      </c>
      <c r="C65" s="23" t="s">
        <v>145</v>
      </c>
      <c r="D65" s="23" t="s">
        <v>55</v>
      </c>
      <c r="E65" s="4" t="s">
        <v>144</v>
      </c>
      <c r="F65" s="22">
        <v>45715</v>
      </c>
      <c r="G65" s="23"/>
      <c r="H65" s="21" t="s">
        <v>47</v>
      </c>
    </row>
    <row r="66" spans="1:29">
      <c r="A66" s="43">
        <v>55</v>
      </c>
      <c r="B66" s="5" t="s">
        <v>94</v>
      </c>
      <c r="C66" s="23" t="s">
        <v>146</v>
      </c>
      <c r="D66" s="23" t="s">
        <v>55</v>
      </c>
      <c r="E66" s="36" t="s">
        <v>147</v>
      </c>
      <c r="F66" s="22">
        <v>45715</v>
      </c>
      <c r="G66" s="22"/>
      <c r="H66" s="21" t="s">
        <v>47</v>
      </c>
      <c r="I66" s="52">
        <v>43890</v>
      </c>
      <c r="J66" s="52">
        <v>2180</v>
      </c>
      <c r="S66" s="46">
        <v>45715</v>
      </c>
      <c r="T66" s="46">
        <v>45717</v>
      </c>
      <c r="U66" s="46"/>
      <c r="AC66" s="18" t="s">
        <v>26</v>
      </c>
    </row>
    <row r="67" spans="1:29">
      <c r="A67" s="43">
        <v>56</v>
      </c>
      <c r="B67" s="5" t="s">
        <v>95</v>
      </c>
      <c r="C67" s="23" t="s">
        <v>150</v>
      </c>
      <c r="D67" s="23" t="s">
        <v>55</v>
      </c>
      <c r="E67" s="16" t="s">
        <v>151</v>
      </c>
      <c r="F67" s="22">
        <v>45717</v>
      </c>
      <c r="G67" s="22">
        <v>45719</v>
      </c>
      <c r="H67" s="21" t="s">
        <v>47</v>
      </c>
      <c r="I67" s="52">
        <v>9062.5499999999993</v>
      </c>
      <c r="S67" s="46">
        <v>45719</v>
      </c>
      <c r="AC67" s="18" t="s">
        <v>26</v>
      </c>
    </row>
    <row r="68" spans="1:29">
      <c r="A68" s="43">
        <v>57</v>
      </c>
      <c r="B68" s="5" t="s">
        <v>94</v>
      </c>
      <c r="C68" s="23" t="s">
        <v>148</v>
      </c>
      <c r="D68" s="23" t="s">
        <v>55</v>
      </c>
      <c r="E68" s="16" t="s">
        <v>149</v>
      </c>
      <c r="F68" s="22">
        <v>45719</v>
      </c>
      <c r="G68" s="23"/>
      <c r="H68" s="21" t="s">
        <v>47</v>
      </c>
    </row>
    <row r="69" spans="1:29">
      <c r="A69" s="43">
        <v>58</v>
      </c>
      <c r="B69" s="5" t="s">
        <v>94</v>
      </c>
      <c r="C69" s="23" t="s">
        <v>152</v>
      </c>
      <c r="D69" s="23" t="s">
        <v>55</v>
      </c>
      <c r="E69" s="16" t="s">
        <v>149</v>
      </c>
      <c r="F69" s="22">
        <v>45719</v>
      </c>
      <c r="G69" s="23"/>
      <c r="H69" s="21" t="s">
        <v>47</v>
      </c>
    </row>
    <row r="70" spans="1:29">
      <c r="A70" s="43">
        <v>59</v>
      </c>
      <c r="B70" s="5" t="s">
        <v>94</v>
      </c>
      <c r="C70" s="23" t="s">
        <v>154</v>
      </c>
      <c r="D70" s="23" t="s">
        <v>55</v>
      </c>
      <c r="E70" s="4" t="s">
        <v>153</v>
      </c>
      <c r="F70" s="22">
        <v>45719</v>
      </c>
      <c r="G70" s="23"/>
      <c r="H70" s="21" t="s">
        <v>47</v>
      </c>
      <c r="I70" s="52">
        <v>17700</v>
      </c>
      <c r="J70" s="52">
        <v>16590</v>
      </c>
      <c r="S70" s="46">
        <v>45719</v>
      </c>
      <c r="T70" s="46">
        <v>45720</v>
      </c>
      <c r="AC70" s="18" t="s">
        <v>26</v>
      </c>
    </row>
    <row r="71" spans="1:29">
      <c r="A71" s="43">
        <v>60</v>
      </c>
      <c r="B71" s="5" t="s">
        <v>95</v>
      </c>
      <c r="C71" s="23" t="s">
        <v>155</v>
      </c>
      <c r="D71" s="23" t="s">
        <v>55</v>
      </c>
      <c r="E71" s="16" t="s">
        <v>156</v>
      </c>
      <c r="F71" s="49">
        <v>45720</v>
      </c>
      <c r="G71" s="23"/>
      <c r="H71" s="21" t="s">
        <v>47</v>
      </c>
    </row>
    <row r="72" spans="1:29">
      <c r="A72" s="43">
        <v>61</v>
      </c>
      <c r="B72" s="5" t="s">
        <v>91</v>
      </c>
      <c r="C72" s="23" t="s">
        <v>158</v>
      </c>
      <c r="D72" s="23" t="s">
        <v>55</v>
      </c>
      <c r="E72" s="16" t="s">
        <v>157</v>
      </c>
      <c r="F72" s="22">
        <v>45721</v>
      </c>
      <c r="G72" s="23"/>
      <c r="H72" s="21" t="s">
        <v>47</v>
      </c>
    </row>
    <row r="73" spans="1:29">
      <c r="A73" s="43">
        <v>62</v>
      </c>
      <c r="B73" s="5" t="s">
        <v>107</v>
      </c>
      <c r="C73" s="23" t="s">
        <v>159</v>
      </c>
      <c r="D73" s="23" t="s">
        <v>41</v>
      </c>
      <c r="E73" s="16" t="s">
        <v>115</v>
      </c>
      <c r="F73" s="22">
        <v>45721</v>
      </c>
      <c r="G73" s="22">
        <v>45725</v>
      </c>
      <c r="H73" s="21" t="s">
        <v>47</v>
      </c>
    </row>
    <row r="74" spans="1:29">
      <c r="A74" s="43">
        <v>63</v>
      </c>
      <c r="B74" s="5" t="s">
        <v>107</v>
      </c>
      <c r="C74" s="23" t="s">
        <v>160</v>
      </c>
      <c r="D74" s="23" t="s">
        <v>41</v>
      </c>
      <c r="E74" s="16" t="s">
        <v>162</v>
      </c>
      <c r="F74" s="22">
        <v>45721</v>
      </c>
      <c r="G74" s="22">
        <v>45725</v>
      </c>
      <c r="H74" s="21" t="s">
        <v>47</v>
      </c>
    </row>
    <row r="75" spans="1:29">
      <c r="A75" s="43">
        <v>64</v>
      </c>
      <c r="B75" s="5" t="s">
        <v>107</v>
      </c>
      <c r="C75" s="23" t="s">
        <v>161</v>
      </c>
      <c r="D75" s="23" t="s">
        <v>41</v>
      </c>
      <c r="E75" s="16" t="s">
        <v>163</v>
      </c>
      <c r="F75" s="22">
        <v>45721</v>
      </c>
      <c r="G75" s="22">
        <v>45725</v>
      </c>
      <c r="H75" s="21" t="s">
        <v>47</v>
      </c>
    </row>
    <row r="76" spans="1:29">
      <c r="A76" s="43">
        <v>65</v>
      </c>
      <c r="B76" s="5" t="s">
        <v>94</v>
      </c>
      <c r="C76" s="23" t="s">
        <v>164</v>
      </c>
      <c r="D76" s="23" t="s">
        <v>55</v>
      </c>
      <c r="E76" s="16" t="s">
        <v>165</v>
      </c>
      <c r="F76" s="22">
        <v>45723</v>
      </c>
      <c r="G76" s="23"/>
      <c r="H76" s="21" t="s">
        <v>47</v>
      </c>
      <c r="I76" s="52">
        <v>83584</v>
      </c>
      <c r="J76" s="52">
        <v>95800</v>
      </c>
      <c r="S76" s="46">
        <v>45723</v>
      </c>
      <c r="T76" s="46">
        <v>45726</v>
      </c>
      <c r="AC76" s="18" t="s">
        <v>26</v>
      </c>
    </row>
    <row r="77" spans="1:29">
      <c r="A77" s="43">
        <v>66</v>
      </c>
      <c r="B77" s="5" t="s">
        <v>283</v>
      </c>
      <c r="C77" s="23" t="s">
        <v>166</v>
      </c>
      <c r="D77" s="23" t="s">
        <v>55</v>
      </c>
      <c r="E77" s="16" t="s">
        <v>42</v>
      </c>
      <c r="F77" s="22">
        <v>45726</v>
      </c>
      <c r="G77" s="23"/>
      <c r="H77" s="21" t="s">
        <v>47</v>
      </c>
    </row>
    <row r="78" spans="1:29">
      <c r="A78" s="43">
        <v>67</v>
      </c>
      <c r="B78" s="5" t="s">
        <v>107</v>
      </c>
      <c r="C78" s="23" t="s">
        <v>167</v>
      </c>
      <c r="D78" s="23" t="s">
        <v>41</v>
      </c>
      <c r="E78" s="16" t="s">
        <v>170</v>
      </c>
      <c r="F78" s="22">
        <v>45726</v>
      </c>
      <c r="G78" s="22">
        <v>45731</v>
      </c>
      <c r="H78" s="21" t="s">
        <v>47</v>
      </c>
      <c r="I78" s="52">
        <v>35731.5</v>
      </c>
      <c r="S78" s="46">
        <v>45727</v>
      </c>
      <c r="AC78" s="18" t="s">
        <v>26</v>
      </c>
    </row>
    <row r="79" spans="1:29">
      <c r="A79" s="43">
        <v>68</v>
      </c>
      <c r="B79" s="5" t="s">
        <v>107</v>
      </c>
      <c r="C79" s="23" t="s">
        <v>168</v>
      </c>
      <c r="D79" s="23" t="s">
        <v>41</v>
      </c>
      <c r="E79" s="16" t="s">
        <v>171</v>
      </c>
      <c r="F79" s="22">
        <v>45726</v>
      </c>
      <c r="G79" s="22">
        <v>45731</v>
      </c>
      <c r="H79" s="21" t="s">
        <v>47</v>
      </c>
      <c r="I79" s="58">
        <v>22585.5</v>
      </c>
      <c r="S79" s="46">
        <v>45731</v>
      </c>
      <c r="AC79" s="18" t="s">
        <v>26</v>
      </c>
    </row>
    <row r="80" spans="1:29">
      <c r="A80" s="43">
        <v>69</v>
      </c>
      <c r="B80" s="5" t="s">
        <v>107</v>
      </c>
      <c r="C80" s="23" t="s">
        <v>169</v>
      </c>
      <c r="D80" s="23" t="s">
        <v>41</v>
      </c>
      <c r="E80" s="16" t="s">
        <v>172</v>
      </c>
      <c r="F80" s="22">
        <v>45726</v>
      </c>
      <c r="G80" s="22">
        <v>45731</v>
      </c>
      <c r="H80" s="21" t="s">
        <v>47</v>
      </c>
      <c r="I80" s="52">
        <v>7470</v>
      </c>
      <c r="J80" s="52">
        <v>6889.93</v>
      </c>
      <c r="S80" s="46">
        <v>45728</v>
      </c>
      <c r="T80" s="46">
        <v>45727</v>
      </c>
      <c r="AC80" s="18" t="s">
        <v>26</v>
      </c>
    </row>
    <row r="81" spans="1:29">
      <c r="A81" s="43">
        <v>70</v>
      </c>
      <c r="B81" s="5" t="s">
        <v>96</v>
      </c>
      <c r="C81" s="23" t="s">
        <v>173</v>
      </c>
      <c r="D81" s="23" t="s">
        <v>180</v>
      </c>
      <c r="E81" s="16" t="s">
        <v>174</v>
      </c>
      <c r="F81" s="22">
        <v>45727</v>
      </c>
      <c r="G81" s="23"/>
      <c r="H81" s="21" t="s">
        <v>47</v>
      </c>
      <c r="I81" s="52">
        <v>28350</v>
      </c>
      <c r="S81" s="46">
        <v>45727</v>
      </c>
      <c r="AC81" s="18" t="s">
        <v>26</v>
      </c>
    </row>
    <row r="82" spans="1:29">
      <c r="A82" s="43">
        <v>71</v>
      </c>
      <c r="B82" s="5" t="s">
        <v>94</v>
      </c>
      <c r="C82" s="23" t="s">
        <v>175</v>
      </c>
      <c r="D82" s="23" t="s">
        <v>180</v>
      </c>
      <c r="E82" s="16" t="s">
        <v>176</v>
      </c>
      <c r="F82" s="22">
        <v>45728</v>
      </c>
      <c r="G82" s="23"/>
      <c r="H82" s="21" t="s">
        <v>47</v>
      </c>
      <c r="I82" s="52">
        <v>2242.5</v>
      </c>
      <c r="J82" s="52">
        <v>8988</v>
      </c>
      <c r="K82" s="52">
        <v>13075</v>
      </c>
      <c r="L82" s="52">
        <v>1620</v>
      </c>
      <c r="M82" s="52">
        <v>3730</v>
      </c>
      <c r="N82" s="52">
        <v>290</v>
      </c>
      <c r="O82" s="52">
        <v>1100</v>
      </c>
      <c r="P82" s="60">
        <v>1740</v>
      </c>
      <c r="Q82" s="60">
        <v>505</v>
      </c>
      <c r="R82" s="60">
        <v>524000</v>
      </c>
      <c r="S82" s="46" t="s">
        <v>224</v>
      </c>
      <c r="T82" s="46">
        <v>45728</v>
      </c>
      <c r="U82" s="46">
        <v>45729</v>
      </c>
      <c r="V82" s="46">
        <v>45729</v>
      </c>
      <c r="W82" s="46">
        <v>45729</v>
      </c>
      <c r="X82" s="46">
        <v>45730</v>
      </c>
      <c r="Y82" s="46">
        <v>45730</v>
      </c>
      <c r="Z82" s="46">
        <v>45730</v>
      </c>
      <c r="AA82" s="46">
        <v>45730</v>
      </c>
      <c r="AB82" s="46">
        <v>45730</v>
      </c>
      <c r="AC82" s="18" t="s">
        <v>26</v>
      </c>
    </row>
    <row r="83" spans="1:29">
      <c r="A83" s="43">
        <v>72</v>
      </c>
      <c r="B83" s="5" t="s">
        <v>95</v>
      </c>
      <c r="C83" s="23" t="s">
        <v>177</v>
      </c>
      <c r="D83" s="23" t="s">
        <v>180</v>
      </c>
      <c r="E83" s="4" t="s">
        <v>178</v>
      </c>
      <c r="F83" s="22">
        <v>45728</v>
      </c>
      <c r="G83" s="23"/>
      <c r="H83" s="21" t="s">
        <v>47</v>
      </c>
      <c r="I83" s="52">
        <v>89721</v>
      </c>
      <c r="J83" s="52">
        <v>500772.22</v>
      </c>
      <c r="K83" s="52">
        <v>207303</v>
      </c>
      <c r="S83" s="46">
        <v>45730</v>
      </c>
      <c r="T83" s="46">
        <v>45730</v>
      </c>
      <c r="U83" s="46">
        <v>45734</v>
      </c>
      <c r="AC83" s="18" t="s">
        <v>26</v>
      </c>
    </row>
    <row r="84" spans="1:29" ht="24">
      <c r="A84" s="43">
        <v>73</v>
      </c>
      <c r="B84" s="5" t="s">
        <v>28</v>
      </c>
      <c r="C84" s="50">
        <v>6000105393</v>
      </c>
      <c r="D84" s="23" t="s">
        <v>55</v>
      </c>
      <c r="E84" s="4" t="s">
        <v>179</v>
      </c>
      <c r="F84" s="22">
        <v>45728</v>
      </c>
      <c r="G84" s="23"/>
      <c r="H84" s="21" t="s">
        <v>47</v>
      </c>
    </row>
    <row r="85" spans="1:29">
      <c r="A85" s="43">
        <v>74</v>
      </c>
      <c r="B85" s="5"/>
      <c r="C85" s="23" t="s">
        <v>181</v>
      </c>
      <c r="D85" s="23" t="s">
        <v>55</v>
      </c>
      <c r="E85" s="16" t="s">
        <v>182</v>
      </c>
      <c r="F85" s="22">
        <v>45729</v>
      </c>
      <c r="G85" s="23"/>
      <c r="H85" s="21" t="s">
        <v>47</v>
      </c>
    </row>
    <row r="86" spans="1:29">
      <c r="A86" s="43">
        <v>75</v>
      </c>
      <c r="B86" s="5"/>
      <c r="C86" s="23" t="s">
        <v>183</v>
      </c>
      <c r="D86" s="23" t="s">
        <v>55</v>
      </c>
      <c r="E86" s="16" t="s">
        <v>184</v>
      </c>
      <c r="F86" s="22">
        <v>45729</v>
      </c>
      <c r="G86" s="23"/>
      <c r="H86" s="21" t="s">
        <v>47</v>
      </c>
    </row>
    <row r="87" spans="1:29">
      <c r="A87" s="43">
        <v>76</v>
      </c>
      <c r="B87" s="5" t="s">
        <v>88</v>
      </c>
      <c r="C87" s="50">
        <v>2012501464</v>
      </c>
      <c r="D87" s="23" t="s">
        <v>41</v>
      </c>
      <c r="E87" s="16" t="s">
        <v>185</v>
      </c>
      <c r="F87" s="22">
        <v>45731</v>
      </c>
      <c r="G87" s="22">
        <v>45736</v>
      </c>
      <c r="H87" s="21" t="s">
        <v>47</v>
      </c>
    </row>
    <row r="88" spans="1:29">
      <c r="A88" s="43">
        <v>77</v>
      </c>
      <c r="B88" s="5" t="s">
        <v>88</v>
      </c>
      <c r="C88" s="50">
        <v>2012501465</v>
      </c>
      <c r="D88" s="23" t="s">
        <v>41</v>
      </c>
      <c r="E88" s="16" t="s">
        <v>266</v>
      </c>
      <c r="F88" s="22">
        <v>45731</v>
      </c>
      <c r="G88" s="22">
        <v>45736</v>
      </c>
      <c r="H88" s="21" t="s">
        <v>47</v>
      </c>
      <c r="I88" s="52">
        <v>3885</v>
      </c>
      <c r="J88" s="52">
        <v>1880</v>
      </c>
      <c r="S88" s="46">
        <v>45734</v>
      </c>
      <c r="T88" s="46">
        <v>45738</v>
      </c>
      <c r="AC88" s="18" t="s">
        <v>26</v>
      </c>
    </row>
    <row r="89" spans="1:29">
      <c r="A89" s="43">
        <v>78</v>
      </c>
      <c r="B89" s="5" t="s">
        <v>88</v>
      </c>
      <c r="C89" s="50">
        <v>2012501466</v>
      </c>
      <c r="D89" s="23" t="s">
        <v>41</v>
      </c>
      <c r="E89" s="16" t="s">
        <v>186</v>
      </c>
      <c r="F89" s="22">
        <v>45731</v>
      </c>
      <c r="G89" s="22">
        <v>45736</v>
      </c>
      <c r="H89" s="21" t="s">
        <v>47</v>
      </c>
    </row>
    <row r="90" spans="1:29">
      <c r="A90" s="43">
        <v>79</v>
      </c>
      <c r="B90" s="5" t="s">
        <v>96</v>
      </c>
      <c r="C90" s="23" t="s">
        <v>188</v>
      </c>
      <c r="D90" s="23" t="s">
        <v>180</v>
      </c>
      <c r="E90" s="16" t="s">
        <v>187</v>
      </c>
      <c r="F90" s="22">
        <v>45733</v>
      </c>
      <c r="G90" s="22">
        <v>45734</v>
      </c>
      <c r="H90" s="21" t="s">
        <v>47</v>
      </c>
      <c r="I90" s="52">
        <v>20333.25</v>
      </c>
      <c r="J90" s="52">
        <v>19600</v>
      </c>
      <c r="S90" s="46">
        <v>45734</v>
      </c>
      <c r="T90" s="46">
        <v>45735</v>
      </c>
      <c r="AC90" s="18" t="s">
        <v>26</v>
      </c>
    </row>
    <row r="91" spans="1:29">
      <c r="A91" s="43">
        <v>80</v>
      </c>
      <c r="B91" s="5" t="s">
        <v>28</v>
      </c>
      <c r="C91" s="23" t="s">
        <v>189</v>
      </c>
      <c r="D91" s="23" t="s">
        <v>180</v>
      </c>
      <c r="E91" s="16" t="s">
        <v>190</v>
      </c>
      <c r="F91" s="22">
        <v>45733</v>
      </c>
      <c r="G91" s="22">
        <v>45734</v>
      </c>
      <c r="H91" s="21" t="s">
        <v>47</v>
      </c>
      <c r="I91" s="52">
        <v>1759</v>
      </c>
      <c r="J91" s="52">
        <v>9277</v>
      </c>
      <c r="K91" s="52">
        <v>10223</v>
      </c>
      <c r="L91" s="52">
        <v>2110.5</v>
      </c>
      <c r="M91" s="52">
        <v>9187</v>
      </c>
      <c r="S91" s="46">
        <v>45734</v>
      </c>
      <c r="T91" s="46">
        <v>45734</v>
      </c>
      <c r="U91" s="46">
        <v>45734</v>
      </c>
      <c r="V91" s="46">
        <v>45735</v>
      </c>
      <c r="W91" s="46">
        <v>45735</v>
      </c>
      <c r="AC91" s="18" t="s">
        <v>26</v>
      </c>
    </row>
    <row r="92" spans="1:29">
      <c r="A92" s="43">
        <v>81</v>
      </c>
      <c r="B92" s="5"/>
      <c r="C92" s="23" t="s">
        <v>191</v>
      </c>
      <c r="D92" s="23" t="s">
        <v>180</v>
      </c>
      <c r="E92" s="16" t="s">
        <v>192</v>
      </c>
      <c r="F92" s="22">
        <v>45734</v>
      </c>
      <c r="G92" s="23"/>
      <c r="H92" s="21" t="s">
        <v>47</v>
      </c>
    </row>
    <row r="93" spans="1:29">
      <c r="A93" s="43">
        <v>82</v>
      </c>
      <c r="B93" s="5" t="s">
        <v>28</v>
      </c>
      <c r="C93" s="50">
        <v>6000105100</v>
      </c>
      <c r="D93" s="23" t="s">
        <v>53</v>
      </c>
      <c r="E93" s="16" t="s">
        <v>193</v>
      </c>
      <c r="F93" s="22">
        <v>45734</v>
      </c>
      <c r="G93" s="22">
        <v>45737</v>
      </c>
      <c r="H93" s="21" t="s">
        <v>47</v>
      </c>
    </row>
    <row r="94" spans="1:29">
      <c r="A94" s="43">
        <v>83</v>
      </c>
      <c r="B94" s="5" t="s">
        <v>28</v>
      </c>
      <c r="C94" s="50">
        <v>6000104175</v>
      </c>
      <c r="D94" s="23" t="s">
        <v>53</v>
      </c>
      <c r="E94" s="16" t="s">
        <v>194</v>
      </c>
      <c r="F94" s="22">
        <v>45734</v>
      </c>
      <c r="G94" s="22">
        <v>45737</v>
      </c>
      <c r="H94" s="21" t="s">
        <v>47</v>
      </c>
    </row>
    <row r="95" spans="1:29">
      <c r="A95" s="43">
        <v>84</v>
      </c>
      <c r="B95" s="5" t="s">
        <v>28</v>
      </c>
      <c r="C95" s="50">
        <v>6000104821</v>
      </c>
      <c r="D95" s="23" t="s">
        <v>53</v>
      </c>
      <c r="E95" s="16" t="s">
        <v>195</v>
      </c>
      <c r="F95" s="22">
        <v>45734</v>
      </c>
      <c r="G95" s="22">
        <v>45740</v>
      </c>
      <c r="H95" s="21" t="s">
        <v>47</v>
      </c>
      <c r="I95" s="52">
        <v>197858.83</v>
      </c>
      <c r="S95" s="46">
        <v>45735</v>
      </c>
      <c r="AC95" s="18" t="s">
        <v>26</v>
      </c>
    </row>
    <row r="96" spans="1:29">
      <c r="A96" s="43">
        <v>85</v>
      </c>
      <c r="B96" s="5" t="s">
        <v>28</v>
      </c>
      <c r="C96" s="50">
        <v>6000105908</v>
      </c>
      <c r="D96" s="23" t="s">
        <v>53</v>
      </c>
      <c r="E96" s="16" t="s">
        <v>196</v>
      </c>
      <c r="F96" s="22">
        <v>45734</v>
      </c>
      <c r="G96" s="22">
        <v>45740</v>
      </c>
      <c r="H96" s="21" t="s">
        <v>47</v>
      </c>
      <c r="I96" s="52">
        <v>96374.77</v>
      </c>
      <c r="S96" s="46">
        <v>45740</v>
      </c>
      <c r="AC96" s="18" t="s">
        <v>26</v>
      </c>
    </row>
    <row r="97" spans="1:29">
      <c r="A97" s="43">
        <v>86</v>
      </c>
      <c r="B97" s="1" t="s">
        <v>291</v>
      </c>
      <c r="C97" s="23" t="s">
        <v>199</v>
      </c>
      <c r="D97" s="23" t="s">
        <v>180</v>
      </c>
      <c r="E97" s="16" t="s">
        <v>200</v>
      </c>
      <c r="F97" s="22">
        <v>45735</v>
      </c>
      <c r="G97" s="22"/>
      <c r="H97" s="21" t="s">
        <v>47</v>
      </c>
      <c r="I97" s="52">
        <v>4407</v>
      </c>
      <c r="J97" s="52">
        <v>530</v>
      </c>
      <c r="K97" s="52">
        <v>560.64</v>
      </c>
      <c r="S97" s="46">
        <v>45736</v>
      </c>
      <c r="T97" s="46">
        <v>45736</v>
      </c>
      <c r="U97" s="46">
        <v>45737</v>
      </c>
      <c r="AC97" s="18" t="s">
        <v>26</v>
      </c>
    </row>
    <row r="98" spans="1:29">
      <c r="A98" s="43">
        <v>87</v>
      </c>
      <c r="B98" s="1" t="s">
        <v>291</v>
      </c>
      <c r="C98" s="23" t="s">
        <v>197</v>
      </c>
      <c r="D98" s="23" t="s">
        <v>180</v>
      </c>
      <c r="E98" s="16" t="s">
        <v>198</v>
      </c>
      <c r="F98" s="22">
        <v>45735</v>
      </c>
      <c r="G98" s="22"/>
      <c r="H98" s="21" t="s">
        <v>47</v>
      </c>
      <c r="I98" s="52">
        <v>170</v>
      </c>
      <c r="J98" s="52">
        <v>1156.83</v>
      </c>
      <c r="K98" s="52">
        <v>1900</v>
      </c>
      <c r="S98" s="46">
        <v>45735</v>
      </c>
      <c r="T98" s="46">
        <v>45736</v>
      </c>
      <c r="U98" s="46">
        <v>45736</v>
      </c>
      <c r="AC98" s="18" t="s">
        <v>26</v>
      </c>
    </row>
    <row r="99" spans="1:29">
      <c r="A99" s="43">
        <v>88</v>
      </c>
      <c r="B99" s="5" t="s">
        <v>91</v>
      </c>
      <c r="C99" s="23" t="s">
        <v>201</v>
      </c>
      <c r="D99" s="23" t="s">
        <v>180</v>
      </c>
      <c r="E99" s="16" t="s">
        <v>202</v>
      </c>
      <c r="F99" s="22">
        <v>45735</v>
      </c>
      <c r="G99" s="23"/>
      <c r="H99" s="21" t="s">
        <v>47</v>
      </c>
      <c r="I99" s="52">
        <v>12075</v>
      </c>
      <c r="J99" s="52">
        <v>1785</v>
      </c>
      <c r="K99" s="52">
        <v>1600</v>
      </c>
      <c r="S99" s="46">
        <v>45736</v>
      </c>
      <c r="T99" s="46">
        <v>45737</v>
      </c>
      <c r="U99" s="46">
        <v>45736</v>
      </c>
      <c r="AC99" s="18" t="s">
        <v>26</v>
      </c>
    </row>
    <row r="100" spans="1:29">
      <c r="A100" s="43">
        <v>89</v>
      </c>
      <c r="B100" s="5"/>
      <c r="C100" s="23" t="s">
        <v>203</v>
      </c>
      <c r="D100" s="23" t="s">
        <v>180</v>
      </c>
      <c r="E100" s="16" t="s">
        <v>204</v>
      </c>
      <c r="F100" s="22">
        <v>45735</v>
      </c>
      <c r="G100" s="23"/>
      <c r="H100" s="21" t="s">
        <v>47</v>
      </c>
      <c r="I100" s="52">
        <v>161.5</v>
      </c>
      <c r="J100" s="52">
        <v>1048.75</v>
      </c>
      <c r="K100" s="52">
        <v>1260</v>
      </c>
      <c r="L100" s="52">
        <v>1470</v>
      </c>
      <c r="M100" s="52">
        <v>13820</v>
      </c>
      <c r="N100" s="52">
        <v>420.53</v>
      </c>
      <c r="S100" s="46">
        <v>45736</v>
      </c>
      <c r="T100" s="46">
        <v>45737</v>
      </c>
      <c r="U100" s="46">
        <v>45737</v>
      </c>
      <c r="V100" s="46">
        <v>45737</v>
      </c>
      <c r="W100" s="46">
        <v>45737</v>
      </c>
      <c r="X100" s="46">
        <v>45738</v>
      </c>
      <c r="AC100" s="18" t="s">
        <v>26</v>
      </c>
    </row>
    <row r="101" spans="1:29">
      <c r="A101" s="43">
        <v>90</v>
      </c>
      <c r="B101" s="5" t="s">
        <v>94</v>
      </c>
      <c r="C101" s="23" t="s">
        <v>205</v>
      </c>
      <c r="D101" s="23" t="s">
        <v>180</v>
      </c>
      <c r="E101" s="4" t="s">
        <v>206</v>
      </c>
      <c r="F101" s="22">
        <v>45736</v>
      </c>
      <c r="G101" s="23"/>
      <c r="H101" s="21" t="s">
        <v>47</v>
      </c>
    </row>
    <row r="102" spans="1:29">
      <c r="A102" s="43">
        <v>91</v>
      </c>
      <c r="B102" s="5" t="s">
        <v>95</v>
      </c>
      <c r="C102" s="23" t="s">
        <v>207</v>
      </c>
      <c r="D102" s="23" t="s">
        <v>55</v>
      </c>
      <c r="E102" s="4" t="s">
        <v>208</v>
      </c>
      <c r="F102" s="22">
        <v>45736</v>
      </c>
      <c r="G102" s="22">
        <v>45754</v>
      </c>
      <c r="H102" s="21" t="s">
        <v>47</v>
      </c>
      <c r="I102" s="52">
        <v>525</v>
      </c>
      <c r="J102" s="52">
        <v>130</v>
      </c>
      <c r="K102" s="52">
        <v>2255</v>
      </c>
      <c r="L102" s="52">
        <v>126</v>
      </c>
      <c r="S102" s="46">
        <v>45737</v>
      </c>
      <c r="T102" s="46">
        <v>45738</v>
      </c>
      <c r="U102" s="46">
        <v>45737</v>
      </c>
      <c r="V102" s="46">
        <v>45737</v>
      </c>
      <c r="AC102" s="18" t="s">
        <v>26</v>
      </c>
    </row>
    <row r="103" spans="1:29">
      <c r="A103" s="43">
        <v>92</v>
      </c>
      <c r="B103" s="5" t="s">
        <v>107</v>
      </c>
      <c r="C103" s="50">
        <v>6000106251</v>
      </c>
      <c r="D103" s="23" t="s">
        <v>41</v>
      </c>
      <c r="E103" s="4" t="s">
        <v>210</v>
      </c>
      <c r="F103" s="22">
        <v>45737</v>
      </c>
      <c r="G103" s="22">
        <v>45741</v>
      </c>
      <c r="H103" s="21" t="s">
        <v>47</v>
      </c>
      <c r="I103" s="58">
        <v>44075.85</v>
      </c>
      <c r="S103" s="46">
        <v>45740</v>
      </c>
      <c r="AC103" s="18" t="s">
        <v>26</v>
      </c>
    </row>
    <row r="104" spans="1:29">
      <c r="A104" s="43">
        <v>93</v>
      </c>
      <c r="B104" s="5" t="s">
        <v>107</v>
      </c>
      <c r="C104" s="50">
        <v>6000106272</v>
      </c>
      <c r="D104" s="23" t="s">
        <v>41</v>
      </c>
      <c r="E104" s="4" t="s">
        <v>209</v>
      </c>
      <c r="F104" s="22">
        <v>45737</v>
      </c>
      <c r="G104" s="22">
        <v>45741</v>
      </c>
      <c r="H104" s="21" t="s">
        <v>47</v>
      </c>
      <c r="I104" s="58">
        <v>2056.6</v>
      </c>
      <c r="S104" s="46">
        <v>45737</v>
      </c>
      <c r="AC104" s="18" t="s">
        <v>26</v>
      </c>
    </row>
    <row r="105" spans="1:29">
      <c r="A105" s="43">
        <v>94</v>
      </c>
      <c r="B105" s="5" t="s">
        <v>88</v>
      </c>
      <c r="C105" s="51">
        <v>2012501556</v>
      </c>
      <c r="D105" s="23" t="s">
        <v>41</v>
      </c>
      <c r="E105" s="16" t="s">
        <v>211</v>
      </c>
      <c r="F105" s="22">
        <v>45737</v>
      </c>
      <c r="G105" s="22">
        <v>45742</v>
      </c>
      <c r="H105" s="21" t="s">
        <v>47</v>
      </c>
    </row>
    <row r="106" spans="1:29">
      <c r="A106" s="43">
        <v>95</v>
      </c>
      <c r="B106" s="5" t="s">
        <v>88</v>
      </c>
      <c r="C106" s="51">
        <v>2012501557</v>
      </c>
      <c r="D106" s="23" t="s">
        <v>41</v>
      </c>
      <c r="E106" s="16" t="s">
        <v>212</v>
      </c>
      <c r="F106" s="22">
        <v>45737</v>
      </c>
      <c r="G106" s="22">
        <v>45742</v>
      </c>
      <c r="H106" s="21" t="s">
        <v>47</v>
      </c>
      <c r="I106" s="52">
        <v>5920</v>
      </c>
      <c r="J106" s="58">
        <v>4672.5</v>
      </c>
      <c r="S106" s="46">
        <v>45737</v>
      </c>
      <c r="T106" s="46">
        <v>45743</v>
      </c>
      <c r="AC106" s="18" t="s">
        <v>26</v>
      </c>
    </row>
    <row r="107" spans="1:29">
      <c r="A107" s="43">
        <v>96</v>
      </c>
      <c r="B107" s="5" t="s">
        <v>88</v>
      </c>
      <c r="C107" s="51">
        <v>2012501558</v>
      </c>
      <c r="D107" s="23" t="s">
        <v>41</v>
      </c>
      <c r="E107" s="16" t="s">
        <v>213</v>
      </c>
      <c r="F107" s="22">
        <v>45737</v>
      </c>
      <c r="G107" s="22">
        <v>45742</v>
      </c>
      <c r="H107" s="21" t="s">
        <v>47</v>
      </c>
      <c r="I107" s="52">
        <v>605.35</v>
      </c>
      <c r="S107" s="46">
        <v>45741</v>
      </c>
      <c r="AC107" s="18" t="s">
        <v>26</v>
      </c>
    </row>
    <row r="108" spans="1:29">
      <c r="A108" s="43">
        <v>97</v>
      </c>
      <c r="B108" s="1" t="s">
        <v>291</v>
      </c>
      <c r="C108" s="23" t="s">
        <v>214</v>
      </c>
      <c r="D108" s="23" t="s">
        <v>180</v>
      </c>
      <c r="E108" s="16" t="s">
        <v>215</v>
      </c>
      <c r="F108" s="22">
        <v>45737</v>
      </c>
      <c r="G108" s="23"/>
      <c r="H108" s="21" t="s">
        <v>47</v>
      </c>
    </row>
    <row r="109" spans="1:29">
      <c r="A109" s="43">
        <v>98</v>
      </c>
      <c r="B109" s="1" t="s">
        <v>291</v>
      </c>
      <c r="C109" s="23" t="s">
        <v>225</v>
      </c>
      <c r="D109" s="23" t="s">
        <v>180</v>
      </c>
      <c r="E109" s="16" t="s">
        <v>226</v>
      </c>
      <c r="F109" s="22">
        <v>45740</v>
      </c>
      <c r="G109" s="23"/>
      <c r="H109" s="21" t="s">
        <v>47</v>
      </c>
      <c r="I109" s="52">
        <v>55</v>
      </c>
      <c r="S109" s="46">
        <v>45741</v>
      </c>
      <c r="AC109" s="18" t="s">
        <v>26</v>
      </c>
    </row>
    <row r="110" spans="1:29">
      <c r="A110" s="43">
        <v>99</v>
      </c>
      <c r="B110" s="1" t="s">
        <v>291</v>
      </c>
      <c r="C110" s="23" t="s">
        <v>227</v>
      </c>
      <c r="D110" s="23" t="s">
        <v>180</v>
      </c>
      <c r="E110" s="16" t="s">
        <v>228</v>
      </c>
      <c r="F110" s="22">
        <v>45740</v>
      </c>
      <c r="G110" s="23"/>
      <c r="H110" s="21" t="s">
        <v>47</v>
      </c>
    </row>
    <row r="111" spans="1:29" ht="24">
      <c r="A111" s="43">
        <v>100</v>
      </c>
      <c r="B111" s="5" t="s">
        <v>91</v>
      </c>
      <c r="C111" s="23" t="s">
        <v>229</v>
      </c>
      <c r="D111" s="23" t="s">
        <v>180</v>
      </c>
      <c r="E111" s="4" t="s">
        <v>230</v>
      </c>
      <c r="F111" s="22">
        <v>45740</v>
      </c>
      <c r="G111" s="23"/>
      <c r="H111" s="21" t="s">
        <v>47</v>
      </c>
    </row>
    <row r="112" spans="1:29">
      <c r="A112" s="43">
        <v>101</v>
      </c>
      <c r="B112" s="1" t="s">
        <v>291</v>
      </c>
      <c r="C112" s="23" t="s">
        <v>232</v>
      </c>
      <c r="D112" s="23" t="s">
        <v>180</v>
      </c>
      <c r="E112" s="16" t="s">
        <v>233</v>
      </c>
      <c r="F112" s="22">
        <v>45741</v>
      </c>
      <c r="G112" s="22"/>
      <c r="H112" s="21" t="s">
        <v>47</v>
      </c>
    </row>
    <row r="113" spans="1:29">
      <c r="A113" s="43">
        <v>102</v>
      </c>
      <c r="B113" s="1" t="s">
        <v>291</v>
      </c>
      <c r="C113" s="23" t="s">
        <v>231</v>
      </c>
      <c r="D113" s="23" t="s">
        <v>180</v>
      </c>
      <c r="E113" s="16" t="s">
        <v>198</v>
      </c>
      <c r="F113" s="22">
        <v>45741</v>
      </c>
      <c r="G113" s="22"/>
      <c r="H113" s="21" t="s">
        <v>47</v>
      </c>
      <c r="I113" s="52">
        <v>1695</v>
      </c>
      <c r="J113" s="52">
        <v>3200</v>
      </c>
      <c r="S113" s="46">
        <v>45741</v>
      </c>
      <c r="T113" s="46">
        <v>45758</v>
      </c>
      <c r="AC113" s="18" t="s">
        <v>26</v>
      </c>
    </row>
    <row r="114" spans="1:29">
      <c r="A114" s="43">
        <v>103</v>
      </c>
      <c r="B114" s="5" t="s">
        <v>88</v>
      </c>
      <c r="C114" s="51">
        <v>2012501606</v>
      </c>
      <c r="D114" s="23" t="s">
        <v>41</v>
      </c>
      <c r="E114" s="16" t="s">
        <v>234</v>
      </c>
      <c r="F114" s="22">
        <v>45741</v>
      </c>
      <c r="G114" s="22">
        <v>45747</v>
      </c>
      <c r="H114" s="21" t="s">
        <v>47</v>
      </c>
    </row>
    <row r="115" spans="1:29">
      <c r="A115" s="43">
        <v>104</v>
      </c>
      <c r="B115" s="5" t="s">
        <v>88</v>
      </c>
      <c r="C115" s="51">
        <v>2012501607</v>
      </c>
      <c r="D115" s="23" t="s">
        <v>41</v>
      </c>
      <c r="E115" s="16" t="s">
        <v>235</v>
      </c>
      <c r="F115" s="22">
        <v>45741</v>
      </c>
      <c r="G115" s="22">
        <v>45747</v>
      </c>
      <c r="H115" s="21" t="s">
        <v>47</v>
      </c>
    </row>
    <row r="116" spans="1:29">
      <c r="A116" s="43">
        <v>105</v>
      </c>
      <c r="B116" s="5" t="s">
        <v>88</v>
      </c>
      <c r="C116" s="51">
        <v>2012501608</v>
      </c>
      <c r="D116" s="23" t="s">
        <v>41</v>
      </c>
      <c r="E116" s="16" t="s">
        <v>236</v>
      </c>
      <c r="F116" s="22">
        <v>45741</v>
      </c>
      <c r="G116" s="22">
        <v>45747</v>
      </c>
      <c r="H116" s="21" t="s">
        <v>47</v>
      </c>
      <c r="I116" s="52">
        <v>10259.58</v>
      </c>
      <c r="J116" s="52">
        <v>96675</v>
      </c>
      <c r="S116" s="46">
        <v>45741</v>
      </c>
      <c r="T116" s="46">
        <v>45751</v>
      </c>
      <c r="AC116" s="18" t="s">
        <v>26</v>
      </c>
    </row>
    <row r="117" spans="1:29">
      <c r="A117" s="43">
        <v>106</v>
      </c>
      <c r="B117" s="5" t="s">
        <v>88</v>
      </c>
      <c r="C117" s="51">
        <v>2012501609</v>
      </c>
      <c r="D117" s="23" t="s">
        <v>41</v>
      </c>
      <c r="E117" s="16" t="s">
        <v>237</v>
      </c>
      <c r="F117" s="22">
        <v>45741</v>
      </c>
      <c r="G117" s="22">
        <v>45747</v>
      </c>
      <c r="H117" s="21" t="s">
        <v>47</v>
      </c>
    </row>
    <row r="118" spans="1:29">
      <c r="A118" s="43">
        <v>107</v>
      </c>
      <c r="B118" s="5" t="s">
        <v>88</v>
      </c>
      <c r="C118" s="51">
        <v>2012501610</v>
      </c>
      <c r="D118" s="23" t="s">
        <v>41</v>
      </c>
      <c r="E118" s="16" t="s">
        <v>238</v>
      </c>
      <c r="F118" s="22">
        <v>45741</v>
      </c>
      <c r="G118" s="22">
        <v>45747</v>
      </c>
      <c r="H118" s="21" t="s">
        <v>47</v>
      </c>
      <c r="I118" s="58">
        <v>153869</v>
      </c>
      <c r="S118" s="46">
        <v>45744</v>
      </c>
      <c r="AC118" s="18" t="s">
        <v>26</v>
      </c>
    </row>
    <row r="119" spans="1:29">
      <c r="A119" s="43">
        <v>108</v>
      </c>
      <c r="B119" s="5"/>
      <c r="C119" s="23" t="s">
        <v>239</v>
      </c>
      <c r="D119" s="23" t="s">
        <v>180</v>
      </c>
      <c r="E119" s="16" t="s">
        <v>240</v>
      </c>
      <c r="F119" s="22">
        <v>45741</v>
      </c>
      <c r="G119" s="23"/>
      <c r="H119" s="21" t="s">
        <v>47</v>
      </c>
      <c r="I119" s="52">
        <v>15104.7</v>
      </c>
      <c r="S119" s="46">
        <v>45742</v>
      </c>
      <c r="AC119" s="18" t="s">
        <v>26</v>
      </c>
    </row>
    <row r="120" spans="1:29" ht="24">
      <c r="A120" s="43">
        <v>109</v>
      </c>
      <c r="B120" s="5" t="s">
        <v>95</v>
      </c>
      <c r="C120" s="23" t="s">
        <v>241</v>
      </c>
      <c r="D120" s="23" t="s">
        <v>180</v>
      </c>
      <c r="E120" s="4" t="s">
        <v>242</v>
      </c>
      <c r="F120" s="22">
        <v>45742</v>
      </c>
      <c r="G120" s="23"/>
      <c r="H120" s="21" t="s">
        <v>47</v>
      </c>
      <c r="I120" s="52" t="s">
        <v>251</v>
      </c>
      <c r="S120" s="46">
        <v>45742</v>
      </c>
      <c r="AC120" s="18" t="s">
        <v>26</v>
      </c>
    </row>
    <row r="121" spans="1:29">
      <c r="A121" s="43">
        <v>110</v>
      </c>
      <c r="B121" s="5" t="s">
        <v>95</v>
      </c>
      <c r="C121" s="23" t="s">
        <v>243</v>
      </c>
      <c r="D121" s="23" t="s">
        <v>180</v>
      </c>
      <c r="E121" s="4" t="s">
        <v>244</v>
      </c>
      <c r="F121" s="22">
        <v>45742</v>
      </c>
      <c r="G121" s="23"/>
      <c r="H121" s="21" t="s">
        <v>47</v>
      </c>
      <c r="I121" s="52">
        <v>1955.54</v>
      </c>
      <c r="S121" s="46">
        <v>45742</v>
      </c>
      <c r="AC121" s="18" t="s">
        <v>26</v>
      </c>
    </row>
    <row r="122" spans="1:29" ht="24">
      <c r="A122" s="43">
        <v>111</v>
      </c>
      <c r="B122" s="5" t="s">
        <v>95</v>
      </c>
      <c r="C122" s="23" t="s">
        <v>245</v>
      </c>
      <c r="D122" s="23" t="s">
        <v>180</v>
      </c>
      <c r="E122" s="4" t="s">
        <v>246</v>
      </c>
      <c r="F122" s="22">
        <v>45742</v>
      </c>
      <c r="G122" s="23"/>
      <c r="H122" s="21" t="s">
        <v>47</v>
      </c>
      <c r="I122" s="52">
        <v>112875</v>
      </c>
      <c r="S122" s="46">
        <v>45742</v>
      </c>
      <c r="AC122" s="18" t="s">
        <v>26</v>
      </c>
    </row>
    <row r="123" spans="1:29">
      <c r="A123" s="43">
        <v>112</v>
      </c>
      <c r="B123" s="5"/>
      <c r="C123" s="23" t="s">
        <v>247</v>
      </c>
      <c r="D123" s="23" t="s">
        <v>180</v>
      </c>
      <c r="E123" s="4" t="s">
        <v>248</v>
      </c>
      <c r="F123" s="22">
        <v>45742</v>
      </c>
      <c r="G123" s="23"/>
      <c r="H123" s="21" t="s">
        <v>47</v>
      </c>
    </row>
    <row r="124" spans="1:29">
      <c r="A124" s="43">
        <v>113</v>
      </c>
      <c r="B124" s="5" t="s">
        <v>94</v>
      </c>
      <c r="C124" s="23" t="s">
        <v>249</v>
      </c>
      <c r="D124" s="23" t="s">
        <v>180</v>
      </c>
      <c r="E124" s="16" t="s">
        <v>250</v>
      </c>
      <c r="F124" s="22">
        <v>45743</v>
      </c>
      <c r="G124" s="23"/>
      <c r="H124" s="21" t="s">
        <v>47</v>
      </c>
      <c r="I124" s="58">
        <v>26108.25</v>
      </c>
      <c r="S124" s="46">
        <v>45744</v>
      </c>
      <c r="AC124" s="18" t="s">
        <v>26</v>
      </c>
    </row>
    <row r="125" spans="1:29">
      <c r="A125" s="43">
        <v>114</v>
      </c>
      <c r="B125" s="5"/>
      <c r="C125" s="23" t="s">
        <v>252</v>
      </c>
      <c r="D125" s="23" t="s">
        <v>55</v>
      </c>
      <c r="E125" s="16" t="s">
        <v>253</v>
      </c>
      <c r="F125" s="22">
        <v>45748</v>
      </c>
      <c r="G125" s="22">
        <v>45750</v>
      </c>
      <c r="H125" s="21" t="s">
        <v>47</v>
      </c>
      <c r="I125" s="52">
        <v>5775</v>
      </c>
      <c r="S125" s="46">
        <v>45751</v>
      </c>
      <c r="AC125" s="19" t="s">
        <v>27</v>
      </c>
    </row>
    <row r="126" spans="1:29">
      <c r="A126" s="43">
        <v>115</v>
      </c>
      <c r="B126" s="1" t="s">
        <v>291</v>
      </c>
      <c r="C126" s="23" t="s">
        <v>254</v>
      </c>
      <c r="D126" s="23" t="s">
        <v>180</v>
      </c>
      <c r="E126" s="16" t="s">
        <v>255</v>
      </c>
      <c r="F126" s="22">
        <v>45749</v>
      </c>
      <c r="G126" s="23"/>
      <c r="H126" s="21" t="s">
        <v>47</v>
      </c>
      <c r="I126" s="52">
        <v>7467</v>
      </c>
      <c r="S126" s="46">
        <v>45749</v>
      </c>
      <c r="AC126" s="18" t="s">
        <v>26</v>
      </c>
    </row>
    <row r="127" spans="1:29">
      <c r="A127" s="43">
        <v>116</v>
      </c>
      <c r="B127" s="5" t="s">
        <v>91</v>
      </c>
      <c r="C127" s="23" t="s">
        <v>256</v>
      </c>
      <c r="D127" s="23" t="s">
        <v>180</v>
      </c>
      <c r="E127" s="16" t="s">
        <v>257</v>
      </c>
      <c r="F127" s="22">
        <v>45749</v>
      </c>
      <c r="G127" s="23"/>
      <c r="H127" s="21" t="s">
        <v>47</v>
      </c>
      <c r="I127" s="52">
        <v>2910</v>
      </c>
      <c r="J127" s="61"/>
      <c r="S127" s="46">
        <v>45750</v>
      </c>
      <c r="AC127" s="18" t="s">
        <v>26</v>
      </c>
    </row>
    <row r="128" spans="1:29">
      <c r="A128" s="43">
        <v>117</v>
      </c>
      <c r="B128" s="1" t="s">
        <v>291</v>
      </c>
      <c r="C128" s="23" t="s">
        <v>258</v>
      </c>
      <c r="D128" s="23" t="s">
        <v>180</v>
      </c>
      <c r="E128" s="16" t="s">
        <v>259</v>
      </c>
      <c r="F128" s="22">
        <v>45749</v>
      </c>
      <c r="G128" s="23"/>
      <c r="H128" s="21" t="s">
        <v>47</v>
      </c>
      <c r="I128" s="52">
        <v>114623.25</v>
      </c>
      <c r="S128" s="46">
        <v>45750</v>
      </c>
      <c r="AC128" s="18" t="s">
        <v>26</v>
      </c>
    </row>
    <row r="129" spans="1:29">
      <c r="A129" s="43">
        <v>118</v>
      </c>
      <c r="B129" s="5" t="s">
        <v>94</v>
      </c>
      <c r="C129" s="23" t="s">
        <v>260</v>
      </c>
      <c r="D129" s="23" t="s">
        <v>180</v>
      </c>
      <c r="E129" s="16" t="s">
        <v>261</v>
      </c>
      <c r="F129" s="22">
        <v>45750</v>
      </c>
      <c r="G129" s="23"/>
      <c r="H129" s="21" t="s">
        <v>47</v>
      </c>
    </row>
    <row r="130" spans="1:29">
      <c r="A130" s="43">
        <v>119</v>
      </c>
      <c r="B130" s="5" t="s">
        <v>91</v>
      </c>
      <c r="C130" s="23" t="s">
        <v>262</v>
      </c>
      <c r="D130" s="23" t="s">
        <v>180</v>
      </c>
      <c r="E130" s="4" t="s">
        <v>263</v>
      </c>
      <c r="F130" s="22">
        <v>45750</v>
      </c>
      <c r="G130" s="23"/>
      <c r="H130" s="21" t="s">
        <v>47</v>
      </c>
    </row>
    <row r="131" spans="1:29" ht="24">
      <c r="A131" s="43">
        <v>120</v>
      </c>
      <c r="B131" s="5" t="s">
        <v>94</v>
      </c>
      <c r="C131" s="23" t="s">
        <v>264</v>
      </c>
      <c r="D131" s="23" t="s">
        <v>180</v>
      </c>
      <c r="E131" s="4" t="s">
        <v>265</v>
      </c>
      <c r="F131" s="22">
        <v>45751</v>
      </c>
      <c r="G131" s="23"/>
      <c r="H131" s="21" t="s">
        <v>47</v>
      </c>
      <c r="I131" s="52">
        <v>18225</v>
      </c>
      <c r="J131" s="52">
        <v>13750</v>
      </c>
      <c r="K131" s="52">
        <v>21935</v>
      </c>
      <c r="S131" s="46">
        <v>45753</v>
      </c>
      <c r="T131" s="46">
        <v>45754</v>
      </c>
      <c r="U131" s="46">
        <v>45754</v>
      </c>
      <c r="AC131" s="18" t="s">
        <v>26</v>
      </c>
    </row>
    <row r="132" spans="1:29">
      <c r="A132" s="43">
        <v>121</v>
      </c>
      <c r="B132" s="1" t="s">
        <v>291</v>
      </c>
      <c r="C132" s="23" t="s">
        <v>268</v>
      </c>
      <c r="D132" s="23" t="s">
        <v>180</v>
      </c>
      <c r="E132" s="16" t="s">
        <v>269</v>
      </c>
      <c r="F132" s="22">
        <v>45754</v>
      </c>
      <c r="G132" s="23"/>
      <c r="H132" s="21" t="s">
        <v>47</v>
      </c>
      <c r="I132" s="52">
        <v>2030</v>
      </c>
      <c r="S132" s="46">
        <v>45756</v>
      </c>
      <c r="AC132" s="18" t="s">
        <v>26</v>
      </c>
    </row>
    <row r="133" spans="1:29">
      <c r="A133" s="43">
        <v>122</v>
      </c>
      <c r="B133" s="7" t="s">
        <v>95</v>
      </c>
      <c r="C133" s="23" t="s">
        <v>270</v>
      </c>
      <c r="D133" s="23" t="s">
        <v>180</v>
      </c>
      <c r="E133" s="4" t="s">
        <v>271</v>
      </c>
      <c r="F133" s="22">
        <v>45754</v>
      </c>
      <c r="G133" s="23"/>
      <c r="H133" s="21" t="s">
        <v>47</v>
      </c>
    </row>
    <row r="134" spans="1:29" ht="24">
      <c r="A134" s="43">
        <v>123</v>
      </c>
      <c r="B134" s="7" t="s">
        <v>94</v>
      </c>
      <c r="C134" s="23" t="s">
        <v>272</v>
      </c>
      <c r="D134" s="23" t="s">
        <v>180</v>
      </c>
      <c r="E134" s="4" t="s">
        <v>273</v>
      </c>
      <c r="F134" s="22">
        <v>45755</v>
      </c>
      <c r="G134" s="23"/>
      <c r="H134" s="21" t="s">
        <v>47</v>
      </c>
    </row>
    <row r="135" spans="1:29" ht="30">
      <c r="A135" s="43">
        <v>124</v>
      </c>
      <c r="B135" s="7" t="s">
        <v>94</v>
      </c>
      <c r="C135" s="23" t="s">
        <v>274</v>
      </c>
      <c r="D135" s="23" t="s">
        <v>180</v>
      </c>
      <c r="E135" s="4" t="s">
        <v>275</v>
      </c>
      <c r="F135" s="22">
        <v>45755</v>
      </c>
      <c r="G135" s="23"/>
      <c r="H135" s="21" t="s">
        <v>47</v>
      </c>
      <c r="I135" s="52">
        <f>5410+7728</f>
        <v>13138</v>
      </c>
      <c r="J135" s="52">
        <v>8310</v>
      </c>
      <c r="K135" s="52">
        <v>343929.63</v>
      </c>
      <c r="S135" s="63" t="s">
        <v>286</v>
      </c>
      <c r="T135" s="46">
        <v>45756</v>
      </c>
      <c r="U135" s="46">
        <v>45757</v>
      </c>
      <c r="AC135" s="18" t="s">
        <v>26</v>
      </c>
    </row>
    <row r="136" spans="1:29">
      <c r="A136" s="43">
        <v>125</v>
      </c>
      <c r="B136" s="7" t="s">
        <v>91</v>
      </c>
      <c r="C136" s="23" t="s">
        <v>276</v>
      </c>
      <c r="D136" s="23" t="s">
        <v>180</v>
      </c>
      <c r="E136" s="4" t="s">
        <v>279</v>
      </c>
      <c r="F136" s="22">
        <v>45755</v>
      </c>
      <c r="G136" s="23"/>
      <c r="H136" s="21" t="s">
        <v>47</v>
      </c>
    </row>
    <row r="137" spans="1:29">
      <c r="A137" s="43">
        <v>126</v>
      </c>
      <c r="B137" s="7" t="s">
        <v>91</v>
      </c>
      <c r="C137" s="23" t="s">
        <v>277</v>
      </c>
      <c r="D137" s="23" t="s">
        <v>180</v>
      </c>
      <c r="E137" s="16" t="s">
        <v>278</v>
      </c>
      <c r="F137" s="22">
        <v>45755</v>
      </c>
      <c r="G137" s="23"/>
      <c r="H137" s="21" t="s">
        <v>47</v>
      </c>
    </row>
    <row r="138" spans="1:29">
      <c r="A138" s="43">
        <v>127</v>
      </c>
      <c r="B138" s="7" t="s">
        <v>91</v>
      </c>
      <c r="C138" s="23" t="s">
        <v>260</v>
      </c>
      <c r="D138" s="23" t="s">
        <v>180</v>
      </c>
      <c r="E138" s="16" t="s">
        <v>280</v>
      </c>
      <c r="F138" s="22">
        <v>45755</v>
      </c>
      <c r="G138" s="23"/>
      <c r="H138" s="21" t="s">
        <v>47</v>
      </c>
    </row>
    <row r="139" spans="1:29">
      <c r="A139" s="43">
        <v>128</v>
      </c>
      <c r="B139" s="7" t="s">
        <v>91</v>
      </c>
      <c r="C139" s="23" t="s">
        <v>281</v>
      </c>
      <c r="D139" s="23" t="s">
        <v>180</v>
      </c>
      <c r="E139" s="16" t="s">
        <v>282</v>
      </c>
      <c r="F139" s="22">
        <v>45755</v>
      </c>
      <c r="G139" s="23"/>
      <c r="H139" s="21" t="s">
        <v>47</v>
      </c>
      <c r="I139" s="52">
        <v>25977</v>
      </c>
      <c r="S139" s="46">
        <v>45757</v>
      </c>
      <c r="AC139" s="18" t="s">
        <v>26</v>
      </c>
    </row>
    <row r="140" spans="1:29">
      <c r="A140" s="43">
        <v>129</v>
      </c>
      <c r="B140" s="7" t="s">
        <v>91</v>
      </c>
      <c r="C140" s="23" t="s">
        <v>284</v>
      </c>
      <c r="D140" s="23" t="s">
        <v>180</v>
      </c>
      <c r="E140" s="4" t="s">
        <v>285</v>
      </c>
      <c r="F140" s="22">
        <v>45756</v>
      </c>
      <c r="G140" s="23"/>
      <c r="H140" s="21" t="s">
        <v>47</v>
      </c>
    </row>
    <row r="141" spans="1:29">
      <c r="A141" s="43">
        <v>130</v>
      </c>
      <c r="B141" s="5" t="s">
        <v>283</v>
      </c>
      <c r="C141" s="23" t="s">
        <v>287</v>
      </c>
      <c r="D141" s="23" t="s">
        <v>180</v>
      </c>
      <c r="E141" s="4" t="s">
        <v>288</v>
      </c>
      <c r="F141" s="22">
        <v>45757</v>
      </c>
      <c r="G141" s="23"/>
      <c r="H141" s="21" t="s">
        <v>47</v>
      </c>
    </row>
    <row r="142" spans="1:29">
      <c r="A142" s="43">
        <v>131</v>
      </c>
      <c r="B142" s="1" t="s">
        <v>291</v>
      </c>
      <c r="C142" s="23" t="s">
        <v>289</v>
      </c>
      <c r="D142" s="23" t="s">
        <v>180</v>
      </c>
      <c r="E142" s="16" t="s">
        <v>290</v>
      </c>
      <c r="F142" s="22">
        <v>45757</v>
      </c>
      <c r="G142" s="23"/>
      <c r="H142" s="21" t="s">
        <v>47</v>
      </c>
      <c r="I142" s="52">
        <v>2100</v>
      </c>
      <c r="S142" s="46">
        <v>45758</v>
      </c>
      <c r="AC142" s="18" t="s">
        <v>26</v>
      </c>
    </row>
    <row r="143" spans="1:29">
      <c r="A143" s="43">
        <v>132</v>
      </c>
      <c r="B143" s="7" t="s">
        <v>95</v>
      </c>
      <c r="C143" s="23" t="s">
        <v>293</v>
      </c>
      <c r="D143" s="23" t="s">
        <v>180</v>
      </c>
      <c r="E143" s="16" t="s">
        <v>292</v>
      </c>
      <c r="F143" s="22">
        <v>45758</v>
      </c>
      <c r="G143" s="22">
        <v>45762</v>
      </c>
      <c r="H143" s="21" t="s">
        <v>47</v>
      </c>
    </row>
    <row r="144" spans="1:29">
      <c r="A144" s="43">
        <v>133</v>
      </c>
      <c r="B144" s="7" t="s">
        <v>97</v>
      </c>
      <c r="C144" s="23" t="s">
        <v>294</v>
      </c>
      <c r="D144" s="23" t="s">
        <v>180</v>
      </c>
      <c r="E144" s="16" t="s">
        <v>295</v>
      </c>
      <c r="F144" s="22">
        <v>45758</v>
      </c>
      <c r="G144" s="23"/>
      <c r="H144" s="21" t="s">
        <v>47</v>
      </c>
      <c r="I144" s="52">
        <v>2972736.56</v>
      </c>
      <c r="J144" s="52">
        <v>3485791.13</v>
      </c>
      <c r="S144" s="46">
        <v>45758</v>
      </c>
      <c r="T144" s="46">
        <v>45761</v>
      </c>
      <c r="AC144" s="18" t="s">
        <v>26</v>
      </c>
    </row>
    <row r="145" spans="1:20">
      <c r="A145" s="43">
        <v>134</v>
      </c>
      <c r="B145" s="7" t="s">
        <v>300</v>
      </c>
      <c r="C145" s="23" t="s">
        <v>296</v>
      </c>
      <c r="D145" s="23" t="s">
        <v>180</v>
      </c>
      <c r="E145" s="16" t="s">
        <v>297</v>
      </c>
      <c r="F145" s="22">
        <v>45761</v>
      </c>
      <c r="G145" s="23"/>
      <c r="H145" s="21" t="s">
        <v>47</v>
      </c>
    </row>
    <row r="146" spans="1:20">
      <c r="A146" s="43">
        <v>135</v>
      </c>
      <c r="B146" s="7" t="s">
        <v>91</v>
      </c>
      <c r="C146" s="23" t="s">
        <v>298</v>
      </c>
      <c r="D146" s="23" t="s">
        <v>180</v>
      </c>
      <c r="E146" s="16" t="s">
        <v>299</v>
      </c>
      <c r="F146" s="22">
        <v>45762</v>
      </c>
      <c r="G146" s="23"/>
      <c r="H146" s="21" t="s">
        <v>47</v>
      </c>
    </row>
    <row r="147" spans="1:20">
      <c r="A147" s="43">
        <v>136</v>
      </c>
      <c r="B147" s="7" t="s">
        <v>91</v>
      </c>
      <c r="C147" s="23" t="s">
        <v>301</v>
      </c>
      <c r="D147" s="23" t="s">
        <v>180</v>
      </c>
      <c r="E147" s="16" t="s">
        <v>302</v>
      </c>
      <c r="F147" s="22">
        <v>45762</v>
      </c>
      <c r="G147" s="23"/>
      <c r="H147" s="21" t="s">
        <v>47</v>
      </c>
    </row>
    <row r="148" spans="1:20">
      <c r="A148" s="43">
        <v>137</v>
      </c>
      <c r="B148" s="1" t="s">
        <v>291</v>
      </c>
      <c r="C148" s="23" t="s">
        <v>303</v>
      </c>
      <c r="D148" s="23" t="s">
        <v>180</v>
      </c>
      <c r="E148" s="16" t="s">
        <v>304</v>
      </c>
      <c r="F148" s="22">
        <v>45762</v>
      </c>
      <c r="G148" s="23"/>
      <c r="H148" s="21" t="s">
        <v>47</v>
      </c>
      <c r="I148" s="52">
        <v>144</v>
      </c>
      <c r="J148" s="52">
        <v>330</v>
      </c>
      <c r="S148" s="46">
        <v>45762</v>
      </c>
      <c r="T148" s="46">
        <v>45762</v>
      </c>
    </row>
    <row r="149" spans="1:20">
      <c r="A149" s="43">
        <v>138</v>
      </c>
      <c r="B149" s="7" t="s">
        <v>107</v>
      </c>
      <c r="C149" s="23" t="s">
        <v>305</v>
      </c>
      <c r="D149" s="23" t="s">
        <v>41</v>
      </c>
      <c r="E149" s="16" t="s">
        <v>306</v>
      </c>
      <c r="F149" s="22">
        <v>45762</v>
      </c>
      <c r="G149" s="22">
        <v>45767</v>
      </c>
      <c r="H149" s="21" t="s">
        <v>47</v>
      </c>
    </row>
    <row r="150" spans="1:20">
      <c r="A150" s="43">
        <v>139</v>
      </c>
      <c r="B150" s="7" t="s">
        <v>107</v>
      </c>
      <c r="C150" s="23" t="s">
        <v>307</v>
      </c>
      <c r="D150" s="23" t="s">
        <v>41</v>
      </c>
      <c r="E150" s="16" t="s">
        <v>308</v>
      </c>
      <c r="F150" s="22">
        <v>45762</v>
      </c>
      <c r="G150" s="22">
        <v>45767</v>
      </c>
      <c r="H150" s="21" t="s">
        <v>47</v>
      </c>
    </row>
    <row r="151" spans="1:20">
      <c r="A151" s="43">
        <v>140</v>
      </c>
      <c r="B151" s="7" t="s">
        <v>107</v>
      </c>
      <c r="C151" s="23" t="s">
        <v>309</v>
      </c>
      <c r="D151" s="23" t="s">
        <v>41</v>
      </c>
      <c r="E151" s="16" t="s">
        <v>310</v>
      </c>
      <c r="F151" s="22">
        <v>45762</v>
      </c>
      <c r="G151" s="22">
        <v>45767</v>
      </c>
      <c r="H151" s="21" t="s">
        <v>47</v>
      </c>
    </row>
    <row r="152" spans="1:20">
      <c r="A152" s="43">
        <v>141</v>
      </c>
      <c r="B152" s="7" t="s">
        <v>107</v>
      </c>
      <c r="C152" s="23" t="s">
        <v>317</v>
      </c>
      <c r="D152" s="23" t="s">
        <v>41</v>
      </c>
      <c r="E152" s="16" t="s">
        <v>311</v>
      </c>
      <c r="F152" s="22">
        <v>45762</v>
      </c>
      <c r="G152" s="22">
        <v>45767</v>
      </c>
      <c r="H152" s="21" t="s">
        <v>47</v>
      </c>
    </row>
    <row r="153" spans="1:20">
      <c r="A153" s="43">
        <v>142</v>
      </c>
      <c r="B153" s="7" t="s">
        <v>107</v>
      </c>
      <c r="C153" s="23" t="s">
        <v>318</v>
      </c>
      <c r="D153" s="23" t="s">
        <v>41</v>
      </c>
      <c r="E153" s="4" t="s">
        <v>312</v>
      </c>
      <c r="F153" s="22">
        <v>45762</v>
      </c>
      <c r="G153" s="22">
        <v>45767</v>
      </c>
      <c r="H153" s="21" t="s">
        <v>47</v>
      </c>
    </row>
    <row r="154" spans="1:20" ht="24">
      <c r="A154" s="43">
        <v>143</v>
      </c>
      <c r="B154" s="7" t="s">
        <v>107</v>
      </c>
      <c r="C154" s="21" t="s">
        <v>319</v>
      </c>
      <c r="D154" s="23" t="s">
        <v>41</v>
      </c>
      <c r="E154" s="4" t="s">
        <v>313</v>
      </c>
      <c r="F154" s="22">
        <v>45762</v>
      </c>
      <c r="G154" s="22">
        <v>45767</v>
      </c>
      <c r="H154" s="21" t="s">
        <v>47</v>
      </c>
    </row>
    <row r="155" spans="1:20" ht="24">
      <c r="A155" s="43">
        <v>144</v>
      </c>
      <c r="B155" s="7" t="s">
        <v>107</v>
      </c>
      <c r="C155" s="21" t="s">
        <v>320</v>
      </c>
      <c r="D155" s="23" t="s">
        <v>41</v>
      </c>
      <c r="E155" s="4" t="s">
        <v>314</v>
      </c>
      <c r="F155" s="22">
        <v>45762</v>
      </c>
      <c r="G155" s="22">
        <v>45767</v>
      </c>
      <c r="H155" s="21" t="s">
        <v>47</v>
      </c>
    </row>
    <row r="156" spans="1:20">
      <c r="A156" s="43">
        <v>145</v>
      </c>
      <c r="B156" s="7" t="s">
        <v>107</v>
      </c>
      <c r="C156" s="21" t="s">
        <v>321</v>
      </c>
      <c r="D156" s="23" t="s">
        <v>41</v>
      </c>
      <c r="E156" s="16" t="s">
        <v>315</v>
      </c>
      <c r="F156" s="22">
        <v>45762</v>
      </c>
      <c r="G156" s="22">
        <v>45767</v>
      </c>
      <c r="H156" s="21" t="s">
        <v>47</v>
      </c>
    </row>
    <row r="157" spans="1:20">
      <c r="A157" s="43">
        <v>146</v>
      </c>
      <c r="B157" s="7" t="s">
        <v>107</v>
      </c>
      <c r="C157" s="21" t="s">
        <v>322</v>
      </c>
      <c r="D157" s="23" t="s">
        <v>41</v>
      </c>
      <c r="E157" s="1" t="s">
        <v>316</v>
      </c>
      <c r="F157" s="22">
        <v>45762</v>
      </c>
      <c r="G157" s="22">
        <v>45767</v>
      </c>
      <c r="H157" s="21" t="s">
        <v>47</v>
      </c>
      <c r="I157" s="58">
        <v>13659.87</v>
      </c>
      <c r="J157" s="52">
        <v>2600</v>
      </c>
      <c r="S157" s="46">
        <v>45764</v>
      </c>
      <c r="T157" s="46">
        <v>45765</v>
      </c>
    </row>
    <row r="158" spans="1:20" ht="30">
      <c r="A158" s="21">
        <v>147</v>
      </c>
      <c r="B158" s="1" t="s">
        <v>95</v>
      </c>
      <c r="C158" s="21" t="s">
        <v>323</v>
      </c>
      <c r="D158" s="21" t="s">
        <v>180</v>
      </c>
      <c r="E158" s="64" t="s">
        <v>324</v>
      </c>
      <c r="F158" s="46">
        <v>45763</v>
      </c>
      <c r="H158" s="21" t="s">
        <v>47</v>
      </c>
    </row>
    <row r="159" spans="1:20">
      <c r="A159" s="43">
        <v>148</v>
      </c>
      <c r="B159" s="1" t="s">
        <v>91</v>
      </c>
      <c r="C159" s="21" t="s">
        <v>325</v>
      </c>
      <c r="D159" s="21" t="s">
        <v>180</v>
      </c>
      <c r="E159" s="1" t="s">
        <v>326</v>
      </c>
      <c r="F159" s="46">
        <v>45763</v>
      </c>
      <c r="H159" s="21" t="s">
        <v>47</v>
      </c>
      <c r="I159" s="52">
        <v>8470</v>
      </c>
      <c r="S159" s="46">
        <v>45764</v>
      </c>
    </row>
    <row r="160" spans="1:20">
      <c r="A160" s="21">
        <v>149</v>
      </c>
      <c r="B160" s="1" t="s">
        <v>291</v>
      </c>
      <c r="C160" s="21" t="s">
        <v>327</v>
      </c>
      <c r="D160" s="21" t="s">
        <v>180</v>
      </c>
      <c r="E160" s="64" t="s">
        <v>328</v>
      </c>
      <c r="F160" s="46">
        <v>45763</v>
      </c>
      <c r="H160" s="21" t="s">
        <v>47</v>
      </c>
    </row>
    <row r="161" spans="1:19">
      <c r="A161" s="43">
        <v>150</v>
      </c>
      <c r="B161" s="7" t="s">
        <v>107</v>
      </c>
      <c r="C161" s="21" t="s">
        <v>329</v>
      </c>
      <c r="D161" s="23" t="s">
        <v>41</v>
      </c>
      <c r="E161" s="1" t="s">
        <v>330</v>
      </c>
      <c r="F161" s="46">
        <v>45763</v>
      </c>
      <c r="H161" s="21" t="s">
        <v>47</v>
      </c>
    </row>
    <row r="162" spans="1:19">
      <c r="A162" s="21">
        <v>151</v>
      </c>
      <c r="B162" s="7" t="s">
        <v>107</v>
      </c>
      <c r="C162" s="21" t="s">
        <v>331</v>
      </c>
      <c r="D162" s="23" t="s">
        <v>41</v>
      </c>
      <c r="E162" s="1" t="s">
        <v>332</v>
      </c>
      <c r="F162" s="46">
        <v>45763</v>
      </c>
      <c r="H162" s="21" t="s">
        <v>47</v>
      </c>
    </row>
    <row r="163" spans="1:19">
      <c r="A163" s="43">
        <v>152</v>
      </c>
      <c r="B163" s="7" t="s">
        <v>107</v>
      </c>
      <c r="C163" s="21" t="s">
        <v>334</v>
      </c>
      <c r="D163" s="23" t="s">
        <v>41</v>
      </c>
      <c r="E163" s="1" t="s">
        <v>333</v>
      </c>
      <c r="F163" s="46">
        <v>45763</v>
      </c>
      <c r="H163" s="21" t="s">
        <v>47</v>
      </c>
    </row>
    <row r="164" spans="1:19">
      <c r="A164" s="21">
        <v>153</v>
      </c>
      <c r="B164" s="7" t="s">
        <v>107</v>
      </c>
      <c r="C164" s="21" t="s">
        <v>336</v>
      </c>
      <c r="D164" s="23" t="s">
        <v>41</v>
      </c>
      <c r="E164" s="1" t="s">
        <v>335</v>
      </c>
      <c r="F164" s="46">
        <v>45763</v>
      </c>
      <c r="H164" s="21" t="s">
        <v>47</v>
      </c>
    </row>
    <row r="165" spans="1:19">
      <c r="A165" s="43">
        <v>154</v>
      </c>
      <c r="B165" s="7" t="s">
        <v>107</v>
      </c>
      <c r="C165" s="21" t="s">
        <v>337</v>
      </c>
      <c r="D165" s="23" t="s">
        <v>41</v>
      </c>
      <c r="E165" s="64" t="s">
        <v>340</v>
      </c>
      <c r="F165" s="46">
        <v>45763</v>
      </c>
      <c r="H165" s="21" t="s">
        <v>47</v>
      </c>
    </row>
    <row r="166" spans="1:19">
      <c r="A166" s="21">
        <v>155</v>
      </c>
      <c r="B166" s="7" t="s">
        <v>107</v>
      </c>
      <c r="C166" s="21" t="s">
        <v>338</v>
      </c>
      <c r="D166" s="23" t="s">
        <v>41</v>
      </c>
      <c r="E166" s="1" t="s">
        <v>341</v>
      </c>
      <c r="F166" s="46">
        <v>45763</v>
      </c>
      <c r="H166" s="21" t="s">
        <v>47</v>
      </c>
    </row>
    <row r="167" spans="1:19">
      <c r="A167" s="43">
        <v>156</v>
      </c>
      <c r="B167" s="7" t="s">
        <v>107</v>
      </c>
      <c r="C167" s="21" t="s">
        <v>339</v>
      </c>
      <c r="D167" s="23" t="s">
        <v>41</v>
      </c>
      <c r="E167" s="1" t="s">
        <v>342</v>
      </c>
      <c r="F167" s="46">
        <v>45763</v>
      </c>
      <c r="H167" s="21" t="s">
        <v>47</v>
      </c>
      <c r="I167" s="52">
        <v>13294</v>
      </c>
      <c r="S167" s="46">
        <v>45764</v>
      </c>
    </row>
    <row r="168" spans="1:19" ht="30">
      <c r="A168" s="21">
        <v>157</v>
      </c>
      <c r="B168" s="1" t="s">
        <v>94</v>
      </c>
      <c r="C168" s="21" t="s">
        <v>343</v>
      </c>
      <c r="D168" s="21" t="s">
        <v>180</v>
      </c>
      <c r="E168" s="64" t="s">
        <v>344</v>
      </c>
      <c r="F168" s="46">
        <v>45764</v>
      </c>
      <c r="H168" s="21" t="s">
        <v>47</v>
      </c>
    </row>
    <row r="169" spans="1:19">
      <c r="A169" s="43">
        <v>158</v>
      </c>
      <c r="B169" s="1" t="s">
        <v>291</v>
      </c>
      <c r="C169" s="21" t="s">
        <v>345</v>
      </c>
      <c r="D169" s="21" t="s">
        <v>180</v>
      </c>
      <c r="E169" s="1" t="s">
        <v>346</v>
      </c>
      <c r="F169" s="46">
        <v>45765</v>
      </c>
      <c r="H169" s="21" t="s">
        <v>47</v>
      </c>
    </row>
    <row r="170" spans="1:19">
      <c r="A170" s="21">
        <v>159</v>
      </c>
      <c r="B170" s="1" t="s">
        <v>291</v>
      </c>
      <c r="C170" s="21" t="s">
        <v>348</v>
      </c>
      <c r="D170" s="21" t="s">
        <v>180</v>
      </c>
      <c r="E170" s="1" t="s">
        <v>347</v>
      </c>
      <c r="F170" s="46">
        <v>45765</v>
      </c>
      <c r="H170" s="21" t="s">
        <v>47</v>
      </c>
    </row>
    <row r="171" spans="1:19" ht="30">
      <c r="A171" s="43">
        <v>160</v>
      </c>
      <c r="B171" s="1" t="s">
        <v>94</v>
      </c>
      <c r="C171" s="65" t="s">
        <v>349</v>
      </c>
      <c r="D171" s="21" t="s">
        <v>180</v>
      </c>
      <c r="E171" s="64" t="s">
        <v>350</v>
      </c>
      <c r="F171" s="46">
        <v>45769</v>
      </c>
      <c r="H171" s="21" t="s">
        <v>47</v>
      </c>
    </row>
    <row r="172" spans="1:19">
      <c r="A172" s="21">
        <v>161</v>
      </c>
      <c r="B172" s="1" t="s">
        <v>107</v>
      </c>
      <c r="C172" s="21" t="s">
        <v>351</v>
      </c>
      <c r="D172" s="21" t="s">
        <v>65</v>
      </c>
      <c r="E172" s="1" t="s">
        <v>353</v>
      </c>
      <c r="F172" s="46">
        <v>45768</v>
      </c>
      <c r="G172" s="46">
        <v>45773</v>
      </c>
      <c r="H172" s="21" t="s">
        <v>47</v>
      </c>
    </row>
    <row r="173" spans="1:19" ht="30">
      <c r="A173" s="43">
        <v>162</v>
      </c>
      <c r="B173" s="1" t="s">
        <v>107</v>
      </c>
      <c r="C173" s="21" t="s">
        <v>352</v>
      </c>
      <c r="D173" s="21" t="s">
        <v>65</v>
      </c>
      <c r="E173" s="64" t="s">
        <v>354</v>
      </c>
      <c r="F173" s="46">
        <v>45768</v>
      </c>
      <c r="G173" s="46">
        <v>45773</v>
      </c>
      <c r="H173" s="21" t="s">
        <v>47</v>
      </c>
    </row>
    <row r="174" spans="1:19">
      <c r="A174" s="21">
        <v>163</v>
      </c>
      <c r="B174" s="1" t="s">
        <v>95</v>
      </c>
      <c r="C174" s="21" t="s">
        <v>355</v>
      </c>
      <c r="D174" s="21" t="s">
        <v>180</v>
      </c>
      <c r="E174" s="1" t="s">
        <v>356</v>
      </c>
      <c r="F174" s="46">
        <v>45770</v>
      </c>
      <c r="H174" s="21" t="s">
        <v>47</v>
      </c>
    </row>
    <row r="175" spans="1:19">
      <c r="A175" s="43">
        <v>164</v>
      </c>
      <c r="B175" s="1" t="s">
        <v>291</v>
      </c>
      <c r="C175" s="21" t="s">
        <v>357</v>
      </c>
      <c r="D175" s="21" t="s">
        <v>180</v>
      </c>
      <c r="E175" s="1" t="s">
        <v>358</v>
      </c>
      <c r="F175" s="46">
        <v>45770</v>
      </c>
      <c r="H175" s="21" t="s">
        <v>47</v>
      </c>
    </row>
    <row r="176" spans="1:19">
      <c r="A176" s="21">
        <v>165</v>
      </c>
      <c r="B176" s="1" t="s">
        <v>291</v>
      </c>
      <c r="C176" s="47" t="s">
        <v>359</v>
      </c>
      <c r="D176" s="21" t="s">
        <v>180</v>
      </c>
      <c r="E176" s="1" t="s">
        <v>360</v>
      </c>
      <c r="F176" s="46">
        <v>45770</v>
      </c>
      <c r="H176" s="21" t="s">
        <v>47</v>
      </c>
    </row>
    <row r="177" spans="1:23">
      <c r="A177" s="43">
        <v>166</v>
      </c>
      <c r="B177" s="1" t="s">
        <v>107</v>
      </c>
      <c r="C177" s="21" t="s">
        <v>361</v>
      </c>
      <c r="D177" s="21" t="s">
        <v>65</v>
      </c>
      <c r="E177" s="1" t="s">
        <v>362</v>
      </c>
      <c r="F177" s="46">
        <v>45770</v>
      </c>
      <c r="G177" s="46">
        <v>45775</v>
      </c>
      <c r="H177" s="21" t="s">
        <v>47</v>
      </c>
    </row>
    <row r="178" spans="1:23">
      <c r="A178" s="21">
        <v>167</v>
      </c>
      <c r="B178" s="1" t="s">
        <v>107</v>
      </c>
      <c r="C178" s="21" t="s">
        <v>363</v>
      </c>
      <c r="D178" s="21" t="s">
        <v>65</v>
      </c>
      <c r="E178" s="64" t="s">
        <v>364</v>
      </c>
      <c r="F178" s="46">
        <v>45770</v>
      </c>
      <c r="G178" s="46">
        <v>45775</v>
      </c>
      <c r="H178" s="21" t="s">
        <v>47</v>
      </c>
    </row>
    <row r="179" spans="1:23">
      <c r="A179" s="43">
        <v>168</v>
      </c>
      <c r="B179" s="1" t="s">
        <v>107</v>
      </c>
      <c r="C179" s="21" t="s">
        <v>365</v>
      </c>
      <c r="D179" s="21" t="s">
        <v>65</v>
      </c>
      <c r="E179" s="1" t="s">
        <v>368</v>
      </c>
      <c r="F179" s="46">
        <v>45770</v>
      </c>
      <c r="G179" s="46">
        <v>45775</v>
      </c>
      <c r="H179" s="21" t="s">
        <v>47</v>
      </c>
    </row>
    <row r="180" spans="1:23">
      <c r="A180" s="21">
        <v>169</v>
      </c>
      <c r="B180" s="1" t="s">
        <v>107</v>
      </c>
      <c r="C180" s="21" t="s">
        <v>366</v>
      </c>
      <c r="D180" s="21" t="s">
        <v>65</v>
      </c>
      <c r="E180" s="1" t="s">
        <v>369</v>
      </c>
      <c r="F180" s="46">
        <v>45770</v>
      </c>
      <c r="G180" s="46">
        <v>45775</v>
      </c>
      <c r="H180" s="21" t="s">
        <v>47</v>
      </c>
    </row>
    <row r="181" spans="1:23">
      <c r="A181" s="43">
        <v>170</v>
      </c>
      <c r="B181" s="1" t="s">
        <v>107</v>
      </c>
      <c r="C181" s="21" t="s">
        <v>367</v>
      </c>
      <c r="D181" s="21" t="s">
        <v>65</v>
      </c>
      <c r="E181" s="1" t="s">
        <v>370</v>
      </c>
      <c r="F181" s="46">
        <v>45770</v>
      </c>
      <c r="G181" s="46">
        <v>45775</v>
      </c>
      <c r="H181" s="21" t="s">
        <v>47</v>
      </c>
    </row>
    <row r="182" spans="1:23">
      <c r="A182" s="21">
        <v>171</v>
      </c>
      <c r="B182" s="1" t="s">
        <v>107</v>
      </c>
      <c r="C182" s="21" t="s">
        <v>168</v>
      </c>
      <c r="D182" s="21" t="s">
        <v>65</v>
      </c>
      <c r="E182" s="1" t="s">
        <v>371</v>
      </c>
      <c r="F182" s="46">
        <v>45770</v>
      </c>
      <c r="G182" s="46">
        <v>45775</v>
      </c>
      <c r="H182" s="21" t="s">
        <v>47</v>
      </c>
    </row>
    <row r="183" spans="1:23">
      <c r="A183" s="43">
        <v>172</v>
      </c>
      <c r="B183" s="1" t="s">
        <v>291</v>
      </c>
      <c r="C183" s="21" t="s">
        <v>372</v>
      </c>
      <c r="D183" s="21" t="s">
        <v>180</v>
      </c>
      <c r="E183" s="1" t="s">
        <v>373</v>
      </c>
      <c r="F183" s="46">
        <v>45771</v>
      </c>
      <c r="H183" s="21" t="s">
        <v>47</v>
      </c>
    </row>
    <row r="184" spans="1:23">
      <c r="A184" s="21">
        <v>173</v>
      </c>
      <c r="B184" s="1" t="s">
        <v>291</v>
      </c>
      <c r="C184" s="21" t="s">
        <v>374</v>
      </c>
      <c r="D184" s="21" t="s">
        <v>180</v>
      </c>
      <c r="E184" s="1" t="s">
        <v>375</v>
      </c>
      <c r="F184" s="46">
        <v>45771</v>
      </c>
      <c r="H184" s="21" t="s">
        <v>47</v>
      </c>
    </row>
    <row r="185" spans="1:23" ht="30">
      <c r="A185" s="43">
        <v>174</v>
      </c>
      <c r="B185" s="1" t="s">
        <v>291</v>
      </c>
      <c r="C185" s="47" t="s">
        <v>376</v>
      </c>
      <c r="D185" s="21" t="s">
        <v>180</v>
      </c>
      <c r="E185" s="64" t="s">
        <v>377</v>
      </c>
      <c r="F185" s="46">
        <v>45772</v>
      </c>
      <c r="H185" s="21" t="s">
        <v>47</v>
      </c>
    </row>
    <row r="186" spans="1:23">
      <c r="A186" s="21">
        <v>175</v>
      </c>
      <c r="B186" s="1" t="s">
        <v>291</v>
      </c>
      <c r="C186" s="47" t="s">
        <v>378</v>
      </c>
      <c r="D186" s="21" t="s">
        <v>180</v>
      </c>
      <c r="E186" s="1" t="s">
        <v>379</v>
      </c>
      <c r="F186" s="46">
        <v>45772</v>
      </c>
      <c r="H186" s="21" t="s">
        <v>47</v>
      </c>
    </row>
    <row r="187" spans="1:23">
      <c r="A187" s="43">
        <v>176</v>
      </c>
      <c r="B187" s="1" t="s">
        <v>107</v>
      </c>
      <c r="C187" s="21" t="s">
        <v>380</v>
      </c>
      <c r="D187" s="21" t="s">
        <v>41</v>
      </c>
      <c r="E187" s="1" t="s">
        <v>384</v>
      </c>
      <c r="F187" s="46">
        <v>45775</v>
      </c>
      <c r="G187" s="46">
        <v>45780</v>
      </c>
      <c r="H187" s="21" t="s">
        <v>47</v>
      </c>
    </row>
    <row r="188" spans="1:23">
      <c r="A188" s="21">
        <v>177</v>
      </c>
      <c r="B188" s="1" t="s">
        <v>107</v>
      </c>
      <c r="C188" s="21" t="s">
        <v>381</v>
      </c>
      <c r="D188" s="21" t="s">
        <v>41</v>
      </c>
      <c r="E188" s="1" t="s">
        <v>385</v>
      </c>
      <c r="F188" s="46">
        <v>45775</v>
      </c>
      <c r="G188" s="46">
        <v>45780</v>
      </c>
      <c r="H188" s="21" t="s">
        <v>47</v>
      </c>
      <c r="I188" s="52">
        <v>1650</v>
      </c>
      <c r="J188" s="52">
        <v>3646.09</v>
      </c>
      <c r="S188" s="46">
        <v>45778</v>
      </c>
      <c r="T188" s="46">
        <v>45779</v>
      </c>
    </row>
    <row r="189" spans="1:23">
      <c r="A189" s="43">
        <v>178</v>
      </c>
      <c r="B189" s="1" t="s">
        <v>107</v>
      </c>
      <c r="C189" s="21" t="s">
        <v>382</v>
      </c>
      <c r="D189" s="21" t="s">
        <v>41</v>
      </c>
      <c r="E189" s="1" t="s">
        <v>386</v>
      </c>
      <c r="F189" s="46">
        <v>45775</v>
      </c>
      <c r="G189" s="46">
        <v>45780</v>
      </c>
      <c r="H189" s="21" t="s">
        <v>47</v>
      </c>
      <c r="I189" s="52">
        <v>4774.25</v>
      </c>
      <c r="J189" s="52">
        <v>118.02</v>
      </c>
      <c r="S189" s="46">
        <v>45777</v>
      </c>
      <c r="T189" s="46">
        <v>45776</v>
      </c>
    </row>
    <row r="190" spans="1:23">
      <c r="A190" s="21">
        <v>179</v>
      </c>
      <c r="B190" s="1" t="s">
        <v>107</v>
      </c>
      <c r="C190" s="21" t="s">
        <v>383</v>
      </c>
      <c r="D190" s="21" t="s">
        <v>41</v>
      </c>
      <c r="E190" s="1" t="s">
        <v>387</v>
      </c>
      <c r="F190" s="46">
        <v>45775</v>
      </c>
      <c r="G190" s="46">
        <v>45780</v>
      </c>
      <c r="H190" s="21" t="s">
        <v>47</v>
      </c>
      <c r="I190" s="52">
        <v>57907.5</v>
      </c>
      <c r="J190" s="52">
        <v>35140</v>
      </c>
      <c r="K190" s="52">
        <v>89990</v>
      </c>
      <c r="L190" s="52">
        <v>90599.94</v>
      </c>
      <c r="M190" s="52">
        <v>82000</v>
      </c>
      <c r="N190" s="52">
        <v>9338.9699999999993</v>
      </c>
      <c r="S190" s="46">
        <v>45782</v>
      </c>
      <c r="T190" s="46">
        <v>45779</v>
      </c>
      <c r="U190" s="46">
        <v>45777</v>
      </c>
      <c r="V190" s="46">
        <v>45777</v>
      </c>
      <c r="W190" s="46">
        <v>45776</v>
      </c>
    </row>
    <row r="191" spans="1:23" ht="30">
      <c r="A191" s="43">
        <v>180</v>
      </c>
      <c r="B191" s="1" t="s">
        <v>291</v>
      </c>
      <c r="C191" s="21" t="s">
        <v>388</v>
      </c>
      <c r="D191" s="21" t="s">
        <v>180</v>
      </c>
      <c r="E191" s="64" t="s">
        <v>389</v>
      </c>
      <c r="F191" s="46">
        <v>45775</v>
      </c>
      <c r="H191" s="21" t="s">
        <v>47</v>
      </c>
    </row>
    <row r="192" spans="1:23" ht="30">
      <c r="A192" s="21">
        <v>181</v>
      </c>
      <c r="B192" s="1" t="s">
        <v>91</v>
      </c>
      <c r="C192" s="66" t="s">
        <v>390</v>
      </c>
      <c r="D192" s="21" t="s">
        <v>180</v>
      </c>
      <c r="E192" s="64" t="s">
        <v>391</v>
      </c>
      <c r="F192" s="46">
        <v>45776</v>
      </c>
      <c r="H192" s="21" t="s">
        <v>47</v>
      </c>
    </row>
    <row r="193" spans="1:29">
      <c r="A193" s="43">
        <v>182</v>
      </c>
      <c r="B193" s="1" t="s">
        <v>291</v>
      </c>
      <c r="C193" s="21" t="s">
        <v>393</v>
      </c>
      <c r="D193" s="21" t="s">
        <v>180</v>
      </c>
      <c r="E193" s="1" t="s">
        <v>392</v>
      </c>
      <c r="F193" s="46">
        <v>45776</v>
      </c>
      <c r="H193" s="21" t="s">
        <v>47</v>
      </c>
    </row>
    <row r="194" spans="1:29">
      <c r="A194" s="21">
        <v>183</v>
      </c>
      <c r="B194" s="1" t="s">
        <v>291</v>
      </c>
      <c r="C194" s="21" t="s">
        <v>394</v>
      </c>
      <c r="D194" s="21" t="s">
        <v>180</v>
      </c>
      <c r="E194" s="1" t="s">
        <v>395</v>
      </c>
      <c r="F194" s="46">
        <v>45778</v>
      </c>
      <c r="H194" s="21" t="s">
        <v>47</v>
      </c>
    </row>
    <row r="195" spans="1:29">
      <c r="A195" s="43">
        <v>184</v>
      </c>
      <c r="B195" s="1" t="s">
        <v>291</v>
      </c>
      <c r="C195" s="21" t="s">
        <v>396</v>
      </c>
      <c r="D195" s="21" t="s">
        <v>180</v>
      </c>
      <c r="E195" s="1" t="s">
        <v>397</v>
      </c>
      <c r="F195" s="46">
        <v>45778</v>
      </c>
      <c r="H195" s="21" t="s">
        <v>47</v>
      </c>
    </row>
    <row r="196" spans="1:29" ht="30">
      <c r="A196" s="21">
        <v>185</v>
      </c>
      <c r="C196" s="21" t="s">
        <v>398</v>
      </c>
      <c r="D196" s="21" t="s">
        <v>180</v>
      </c>
      <c r="E196" s="64" t="s">
        <v>399</v>
      </c>
      <c r="F196" s="46">
        <v>45778</v>
      </c>
      <c r="H196" s="21" t="s">
        <v>47</v>
      </c>
      <c r="I196" s="52">
        <v>400844.19</v>
      </c>
      <c r="S196" s="46">
        <v>45782</v>
      </c>
    </row>
    <row r="197" spans="1:29" ht="30">
      <c r="A197" s="43">
        <v>186</v>
      </c>
      <c r="C197" s="21" t="s">
        <v>400</v>
      </c>
      <c r="D197" s="21" t="s">
        <v>180</v>
      </c>
      <c r="E197" s="64" t="s">
        <v>401</v>
      </c>
      <c r="F197" s="46">
        <v>45778</v>
      </c>
      <c r="H197" s="21" t="s">
        <v>47</v>
      </c>
    </row>
    <row r="198" spans="1:29" ht="30">
      <c r="A198" s="21">
        <v>187</v>
      </c>
      <c r="B198" s="1" t="s">
        <v>28</v>
      </c>
      <c r="C198" s="21" t="s">
        <v>402</v>
      </c>
      <c r="D198" s="21" t="s">
        <v>180</v>
      </c>
      <c r="E198" s="64" t="s">
        <v>403</v>
      </c>
      <c r="F198" s="46">
        <v>45779</v>
      </c>
      <c r="H198" s="21" t="s">
        <v>47</v>
      </c>
    </row>
    <row r="199" spans="1:29">
      <c r="A199" s="43">
        <v>188</v>
      </c>
      <c r="B199" s="1" t="s">
        <v>107</v>
      </c>
      <c r="C199" s="21" t="s">
        <v>404</v>
      </c>
      <c r="D199" s="21" t="s">
        <v>41</v>
      </c>
      <c r="E199" s="1" t="s">
        <v>408</v>
      </c>
      <c r="F199" s="46">
        <v>45779</v>
      </c>
      <c r="G199" s="46">
        <v>45785</v>
      </c>
      <c r="H199" s="21" t="s">
        <v>47</v>
      </c>
      <c r="I199" s="52">
        <v>4404.12</v>
      </c>
      <c r="J199" s="52">
        <v>16438.11</v>
      </c>
      <c r="K199" s="52">
        <v>4095</v>
      </c>
      <c r="S199" s="46">
        <v>45782</v>
      </c>
      <c r="T199" s="46">
        <v>45783</v>
      </c>
      <c r="U199" s="46">
        <v>45784</v>
      </c>
      <c r="AC199" s="18" t="s">
        <v>26</v>
      </c>
    </row>
    <row r="200" spans="1:29">
      <c r="A200" s="21">
        <v>189</v>
      </c>
      <c r="B200" s="1" t="s">
        <v>107</v>
      </c>
      <c r="C200" s="21" t="s">
        <v>405</v>
      </c>
      <c r="D200" s="21" t="s">
        <v>41</v>
      </c>
      <c r="E200" s="1" t="s">
        <v>409</v>
      </c>
      <c r="F200" s="46">
        <v>45779</v>
      </c>
      <c r="G200" s="46">
        <v>45785</v>
      </c>
      <c r="H200" s="21" t="s">
        <v>47</v>
      </c>
      <c r="I200" s="52">
        <v>26972.58</v>
      </c>
      <c r="J200" s="52">
        <v>5830</v>
      </c>
      <c r="S200" s="46">
        <v>45782</v>
      </c>
      <c r="T200" s="46">
        <v>45786</v>
      </c>
      <c r="AC200" s="19" t="s">
        <v>27</v>
      </c>
    </row>
    <row r="201" spans="1:29">
      <c r="A201" s="43">
        <v>190</v>
      </c>
      <c r="B201" s="1" t="s">
        <v>107</v>
      </c>
      <c r="C201" s="21" t="s">
        <v>406</v>
      </c>
      <c r="D201" s="21" t="s">
        <v>41</v>
      </c>
      <c r="E201" s="1" t="s">
        <v>410</v>
      </c>
      <c r="F201" s="46">
        <v>45779</v>
      </c>
      <c r="G201" s="46">
        <v>45785</v>
      </c>
      <c r="H201" s="21" t="s">
        <v>47</v>
      </c>
      <c r="I201" s="52">
        <v>13965</v>
      </c>
      <c r="S201" s="46">
        <v>45786</v>
      </c>
      <c r="AC201" s="19" t="s">
        <v>27</v>
      </c>
    </row>
    <row r="202" spans="1:29">
      <c r="A202" s="21">
        <v>191</v>
      </c>
      <c r="B202" s="1" t="s">
        <v>107</v>
      </c>
      <c r="C202" s="21" t="s">
        <v>407</v>
      </c>
      <c r="D202" s="21" t="s">
        <v>41</v>
      </c>
      <c r="E202" s="1" t="s">
        <v>411</v>
      </c>
      <c r="F202" s="46">
        <v>45779</v>
      </c>
      <c r="G202" s="46">
        <v>45785</v>
      </c>
      <c r="H202" s="21" t="s">
        <v>47</v>
      </c>
      <c r="AC202" s="18" t="s">
        <v>26</v>
      </c>
    </row>
    <row r="203" spans="1:29">
      <c r="A203" s="43">
        <v>192</v>
      </c>
      <c r="B203" s="1" t="s">
        <v>95</v>
      </c>
      <c r="C203" s="21" t="s">
        <v>412</v>
      </c>
      <c r="D203" s="21" t="s">
        <v>180</v>
      </c>
      <c r="E203" s="1" t="s">
        <v>413</v>
      </c>
      <c r="F203" s="46">
        <v>45782</v>
      </c>
      <c r="H203" s="21" t="s">
        <v>47</v>
      </c>
    </row>
    <row r="204" spans="1:29">
      <c r="A204" s="21">
        <v>193</v>
      </c>
      <c r="B204" s="1" t="s">
        <v>416</v>
      </c>
      <c r="C204" s="21" t="s">
        <v>414</v>
      </c>
      <c r="D204" s="21" t="s">
        <v>180</v>
      </c>
      <c r="E204" s="1" t="s">
        <v>415</v>
      </c>
      <c r="F204" s="46">
        <v>45783</v>
      </c>
      <c r="H204" s="21" t="s">
        <v>47</v>
      </c>
    </row>
    <row r="205" spans="1:29">
      <c r="A205" s="43">
        <v>194</v>
      </c>
      <c r="B205" s="1" t="s">
        <v>291</v>
      </c>
      <c r="C205" s="21" t="s">
        <v>417</v>
      </c>
      <c r="D205" s="21" t="s">
        <v>180</v>
      </c>
      <c r="E205" s="1" t="s">
        <v>418</v>
      </c>
      <c r="F205" s="46">
        <v>45783</v>
      </c>
      <c r="H205" s="21" t="s">
        <v>47</v>
      </c>
    </row>
    <row r="206" spans="1:29">
      <c r="A206" s="21">
        <v>195</v>
      </c>
      <c r="B206" s="1" t="s">
        <v>751</v>
      </c>
      <c r="C206" s="21" t="s">
        <v>419</v>
      </c>
      <c r="D206" s="21" t="s">
        <v>180</v>
      </c>
      <c r="E206" s="1" t="s">
        <v>420</v>
      </c>
      <c r="F206" s="46">
        <v>45783</v>
      </c>
      <c r="H206" s="21" t="s">
        <v>47</v>
      </c>
    </row>
    <row r="207" spans="1:29" ht="30">
      <c r="A207" s="43">
        <v>196</v>
      </c>
      <c r="B207" s="1" t="s">
        <v>291</v>
      </c>
      <c r="C207" s="21" t="s">
        <v>421</v>
      </c>
      <c r="D207" s="21" t="s">
        <v>180</v>
      </c>
      <c r="E207" s="64" t="s">
        <v>422</v>
      </c>
      <c r="F207" s="46">
        <v>45782</v>
      </c>
      <c r="H207" s="21" t="s">
        <v>47</v>
      </c>
    </row>
    <row r="208" spans="1:29">
      <c r="A208" s="21">
        <v>197</v>
      </c>
      <c r="B208" s="1" t="s">
        <v>291</v>
      </c>
      <c r="C208" s="21" t="s">
        <v>423</v>
      </c>
      <c r="D208" s="21" t="s">
        <v>180</v>
      </c>
      <c r="E208" s="1" t="s">
        <v>424</v>
      </c>
      <c r="F208" s="46">
        <v>45782</v>
      </c>
      <c r="H208" s="21" t="s">
        <v>47</v>
      </c>
    </row>
    <row r="209" spans="1:29">
      <c r="A209" s="43">
        <v>198</v>
      </c>
      <c r="B209" s="1" t="s">
        <v>94</v>
      </c>
      <c r="C209" s="21" t="s">
        <v>425</v>
      </c>
      <c r="D209" s="21" t="s">
        <v>180</v>
      </c>
      <c r="E209" s="1" t="s">
        <v>426</v>
      </c>
      <c r="F209" s="46">
        <v>45784</v>
      </c>
      <c r="H209" s="21" t="s">
        <v>47</v>
      </c>
      <c r="I209" s="52">
        <v>44460</v>
      </c>
      <c r="S209" s="46">
        <v>45789</v>
      </c>
      <c r="AC209" s="18" t="s">
        <v>26</v>
      </c>
    </row>
    <row r="210" spans="1:29">
      <c r="A210" s="21">
        <v>199</v>
      </c>
      <c r="B210" s="1" t="s">
        <v>91</v>
      </c>
      <c r="C210" s="21" t="s">
        <v>427</v>
      </c>
      <c r="D210" s="21" t="s">
        <v>180</v>
      </c>
      <c r="E210" s="1" t="s">
        <v>428</v>
      </c>
      <c r="F210" s="46">
        <v>45784</v>
      </c>
      <c r="H210" s="21" t="s">
        <v>47</v>
      </c>
      <c r="I210" s="52">
        <v>2048</v>
      </c>
      <c r="J210" s="52">
        <v>2300</v>
      </c>
      <c r="K210" s="52">
        <v>6302.56</v>
      </c>
      <c r="S210" s="46">
        <v>45785</v>
      </c>
      <c r="T210" s="46">
        <v>45785</v>
      </c>
      <c r="U210" s="46">
        <v>45786</v>
      </c>
      <c r="AC210" s="18" t="s">
        <v>26</v>
      </c>
    </row>
    <row r="211" spans="1:29" ht="30">
      <c r="A211" s="43">
        <v>200</v>
      </c>
      <c r="B211" s="1" t="s">
        <v>94</v>
      </c>
      <c r="C211" s="21" t="s">
        <v>429</v>
      </c>
      <c r="D211" s="21" t="s">
        <v>180</v>
      </c>
      <c r="E211" s="64" t="s">
        <v>430</v>
      </c>
      <c r="F211" s="46">
        <v>45785</v>
      </c>
      <c r="H211" s="21" t="s">
        <v>47</v>
      </c>
    </row>
    <row r="212" spans="1:29" ht="30">
      <c r="A212" s="21">
        <v>201</v>
      </c>
      <c r="B212" s="1" t="s">
        <v>107</v>
      </c>
      <c r="C212" s="21" t="s">
        <v>431</v>
      </c>
      <c r="D212" s="21" t="s">
        <v>41</v>
      </c>
      <c r="E212" s="64" t="s">
        <v>436</v>
      </c>
      <c r="F212" s="46">
        <v>45784</v>
      </c>
      <c r="G212" s="46">
        <v>45790</v>
      </c>
      <c r="H212" s="21" t="s">
        <v>47</v>
      </c>
      <c r="I212" s="52">
        <v>2469.41</v>
      </c>
      <c r="S212" s="46">
        <v>45789</v>
      </c>
      <c r="AC212" s="18" t="s">
        <v>26</v>
      </c>
    </row>
    <row r="213" spans="1:29">
      <c r="A213" s="43">
        <v>202</v>
      </c>
      <c r="B213" s="1" t="s">
        <v>107</v>
      </c>
      <c r="C213" s="21" t="s">
        <v>432</v>
      </c>
      <c r="D213" s="21" t="s">
        <v>41</v>
      </c>
      <c r="E213" s="64" t="s">
        <v>437</v>
      </c>
      <c r="F213" s="46">
        <v>45784</v>
      </c>
      <c r="G213" s="46">
        <v>45790</v>
      </c>
      <c r="H213" s="21" t="s">
        <v>47</v>
      </c>
      <c r="I213" s="52">
        <v>37900</v>
      </c>
      <c r="S213" s="46">
        <v>45784</v>
      </c>
      <c r="AC213" s="18" t="s">
        <v>26</v>
      </c>
    </row>
    <row r="214" spans="1:29" ht="30">
      <c r="A214" s="21">
        <v>203</v>
      </c>
      <c r="B214" s="1" t="s">
        <v>107</v>
      </c>
      <c r="C214" s="21" t="s">
        <v>433</v>
      </c>
      <c r="D214" s="21" t="s">
        <v>41</v>
      </c>
      <c r="E214" s="64" t="s">
        <v>438</v>
      </c>
      <c r="F214" s="46">
        <v>45784</v>
      </c>
      <c r="G214" s="46">
        <v>45790</v>
      </c>
      <c r="H214" s="21" t="s">
        <v>47</v>
      </c>
      <c r="I214" s="52">
        <v>3780</v>
      </c>
      <c r="S214" s="46">
        <v>45786</v>
      </c>
      <c r="AC214" s="18" t="s">
        <v>26</v>
      </c>
    </row>
    <row r="215" spans="1:29" ht="30">
      <c r="A215" s="43">
        <v>204</v>
      </c>
      <c r="B215" s="1" t="s">
        <v>107</v>
      </c>
      <c r="C215" s="21" t="s">
        <v>434</v>
      </c>
      <c r="D215" s="21" t="s">
        <v>41</v>
      </c>
      <c r="E215" s="64" t="s">
        <v>439</v>
      </c>
      <c r="F215" s="46">
        <v>45784</v>
      </c>
      <c r="G215" s="46">
        <v>45790</v>
      </c>
      <c r="H215" s="21" t="s">
        <v>47</v>
      </c>
      <c r="I215" s="52">
        <v>3001.16</v>
      </c>
      <c r="S215" s="46">
        <v>45786</v>
      </c>
      <c r="AC215" s="18" t="s">
        <v>26</v>
      </c>
    </row>
    <row r="216" spans="1:29" ht="30">
      <c r="A216" s="21">
        <v>205</v>
      </c>
      <c r="B216" s="1" t="s">
        <v>107</v>
      </c>
      <c r="C216" s="21" t="s">
        <v>435</v>
      </c>
      <c r="D216" s="21" t="s">
        <v>41</v>
      </c>
      <c r="E216" s="64" t="s">
        <v>440</v>
      </c>
      <c r="F216" s="46">
        <v>45784</v>
      </c>
      <c r="G216" s="46">
        <v>45790</v>
      </c>
      <c r="H216" s="21" t="s">
        <v>47</v>
      </c>
      <c r="I216" s="52">
        <v>2252.25</v>
      </c>
      <c r="S216" s="46">
        <v>45785</v>
      </c>
      <c r="AC216" s="18" t="s">
        <v>26</v>
      </c>
    </row>
    <row r="217" spans="1:29">
      <c r="A217" s="43">
        <v>206</v>
      </c>
      <c r="B217" s="1" t="s">
        <v>107</v>
      </c>
      <c r="C217" s="21" t="s">
        <v>441</v>
      </c>
      <c r="D217" s="21" t="s">
        <v>41</v>
      </c>
      <c r="E217" s="1" t="s">
        <v>449</v>
      </c>
      <c r="F217" s="46">
        <v>45785</v>
      </c>
      <c r="G217" s="46">
        <v>45791</v>
      </c>
      <c r="H217" s="21" t="s">
        <v>47</v>
      </c>
    </row>
    <row r="218" spans="1:29">
      <c r="A218" s="21">
        <v>207</v>
      </c>
      <c r="B218" s="1" t="s">
        <v>107</v>
      </c>
      <c r="C218" s="21" t="s">
        <v>443</v>
      </c>
      <c r="D218" s="21" t="s">
        <v>41</v>
      </c>
      <c r="E218" s="1" t="s">
        <v>450</v>
      </c>
      <c r="F218" s="46">
        <v>45785</v>
      </c>
      <c r="G218" s="46">
        <v>45791</v>
      </c>
      <c r="H218" s="21" t="s">
        <v>47</v>
      </c>
    </row>
    <row r="219" spans="1:29">
      <c r="A219" s="43">
        <v>208</v>
      </c>
      <c r="B219" s="1" t="s">
        <v>107</v>
      </c>
      <c r="C219" s="21" t="s">
        <v>444</v>
      </c>
      <c r="D219" s="21" t="s">
        <v>41</v>
      </c>
      <c r="E219" s="1" t="s">
        <v>451</v>
      </c>
      <c r="F219" s="46">
        <v>45785</v>
      </c>
      <c r="G219" s="46">
        <v>45791</v>
      </c>
      <c r="H219" s="21" t="s">
        <v>47</v>
      </c>
      <c r="I219" s="52">
        <v>31234.61</v>
      </c>
      <c r="S219" s="46">
        <v>45792</v>
      </c>
      <c r="AC219" s="18" t="s">
        <v>26</v>
      </c>
    </row>
    <row r="220" spans="1:29">
      <c r="A220" s="21">
        <v>209</v>
      </c>
      <c r="B220" s="1" t="s">
        <v>107</v>
      </c>
      <c r="C220" s="21" t="s">
        <v>445</v>
      </c>
      <c r="D220" s="21" t="s">
        <v>41</v>
      </c>
      <c r="E220" s="1" t="s">
        <v>452</v>
      </c>
      <c r="F220" s="46">
        <v>45785</v>
      </c>
      <c r="G220" s="46">
        <v>45791</v>
      </c>
      <c r="H220" s="21" t="s">
        <v>47</v>
      </c>
    </row>
    <row r="221" spans="1:29">
      <c r="A221" s="43">
        <v>210</v>
      </c>
      <c r="B221" s="1" t="s">
        <v>107</v>
      </c>
      <c r="C221" s="21" t="s">
        <v>442</v>
      </c>
      <c r="D221" s="21" t="s">
        <v>41</v>
      </c>
      <c r="E221" s="1" t="s">
        <v>453</v>
      </c>
      <c r="F221" s="46">
        <v>45785</v>
      </c>
      <c r="G221" s="46">
        <v>45791</v>
      </c>
      <c r="H221" s="21" t="s">
        <v>47</v>
      </c>
    </row>
    <row r="222" spans="1:29">
      <c r="A222" s="21">
        <v>211</v>
      </c>
      <c r="B222" s="1" t="s">
        <v>107</v>
      </c>
      <c r="C222" s="21" t="s">
        <v>446</v>
      </c>
      <c r="D222" s="21" t="s">
        <v>41</v>
      </c>
      <c r="E222" s="1" t="s">
        <v>454</v>
      </c>
      <c r="F222" s="46">
        <v>45785</v>
      </c>
      <c r="G222" s="46">
        <v>45791</v>
      </c>
      <c r="H222" s="21" t="s">
        <v>47</v>
      </c>
      <c r="I222" s="52">
        <v>1869</v>
      </c>
      <c r="S222" s="46">
        <v>45790</v>
      </c>
      <c r="AC222" s="18" t="s">
        <v>26</v>
      </c>
    </row>
    <row r="223" spans="1:29">
      <c r="A223" s="43">
        <v>212</v>
      </c>
      <c r="B223" s="1" t="s">
        <v>107</v>
      </c>
      <c r="C223" s="21" t="s">
        <v>447</v>
      </c>
      <c r="D223" s="21" t="s">
        <v>41</v>
      </c>
      <c r="E223" s="1" t="s">
        <v>436</v>
      </c>
      <c r="F223" s="46">
        <v>45785</v>
      </c>
      <c r="G223" s="46">
        <v>45791</v>
      </c>
      <c r="H223" s="21" t="s">
        <v>47</v>
      </c>
      <c r="I223" s="52">
        <v>15972.39</v>
      </c>
      <c r="S223" s="46">
        <v>45794</v>
      </c>
      <c r="AC223" s="18" t="s">
        <v>26</v>
      </c>
    </row>
    <row r="224" spans="1:29">
      <c r="A224" s="21">
        <v>213</v>
      </c>
      <c r="B224" s="1" t="s">
        <v>107</v>
      </c>
      <c r="C224" s="21" t="s">
        <v>448</v>
      </c>
      <c r="D224" s="21" t="s">
        <v>41</v>
      </c>
      <c r="E224" s="1" t="s">
        <v>455</v>
      </c>
      <c r="F224" s="46">
        <v>45785</v>
      </c>
      <c r="G224" s="46">
        <v>45791</v>
      </c>
      <c r="H224" s="21" t="s">
        <v>47</v>
      </c>
    </row>
    <row r="225" spans="1:29">
      <c r="A225" s="43">
        <v>214</v>
      </c>
      <c r="B225" s="1" t="s">
        <v>88</v>
      </c>
      <c r="C225" s="21">
        <v>2012502381</v>
      </c>
      <c r="D225" s="21" t="s">
        <v>41</v>
      </c>
      <c r="E225" s="1" t="s">
        <v>465</v>
      </c>
      <c r="F225" s="46">
        <v>45785</v>
      </c>
      <c r="G225" s="46">
        <v>45791</v>
      </c>
      <c r="H225" s="21" t="s">
        <v>47</v>
      </c>
      <c r="I225" s="52">
        <v>25978</v>
      </c>
      <c r="S225" s="46">
        <v>45789</v>
      </c>
      <c r="AC225" s="18" t="s">
        <v>26</v>
      </c>
    </row>
    <row r="226" spans="1:29">
      <c r="A226" s="21">
        <v>215</v>
      </c>
      <c r="B226" s="1" t="s">
        <v>88</v>
      </c>
      <c r="C226" s="21">
        <v>2012502385</v>
      </c>
      <c r="D226" s="21" t="s">
        <v>41</v>
      </c>
      <c r="E226" s="1" t="s">
        <v>466</v>
      </c>
      <c r="F226" s="46">
        <v>45785</v>
      </c>
      <c r="G226" s="46">
        <v>45791</v>
      </c>
      <c r="H226" s="21" t="s">
        <v>47</v>
      </c>
    </row>
    <row r="227" spans="1:29">
      <c r="A227" s="43">
        <v>216</v>
      </c>
      <c r="B227" s="1" t="s">
        <v>88</v>
      </c>
      <c r="C227" s="70">
        <v>2012502389</v>
      </c>
      <c r="D227" s="21" t="s">
        <v>41</v>
      </c>
      <c r="E227" s="1" t="s">
        <v>467</v>
      </c>
      <c r="F227" s="46">
        <v>45785</v>
      </c>
      <c r="G227" s="46">
        <v>45791</v>
      </c>
      <c r="H227" s="21" t="s">
        <v>47</v>
      </c>
      <c r="I227" s="52">
        <v>849.6</v>
      </c>
      <c r="J227" s="52">
        <v>750</v>
      </c>
      <c r="S227" s="46">
        <v>45790</v>
      </c>
      <c r="T227" s="46">
        <v>45792</v>
      </c>
      <c r="AC227" s="18" t="s">
        <v>26</v>
      </c>
    </row>
    <row r="228" spans="1:29">
      <c r="A228" s="21">
        <v>217</v>
      </c>
      <c r="B228" s="1" t="s">
        <v>88</v>
      </c>
      <c r="C228" s="21">
        <v>2012502393</v>
      </c>
      <c r="D228" s="21" t="s">
        <v>41</v>
      </c>
      <c r="E228" s="1" t="s">
        <v>468</v>
      </c>
      <c r="F228" s="46">
        <v>45785</v>
      </c>
      <c r="G228" s="46">
        <v>45791</v>
      </c>
      <c r="H228" s="21" t="s">
        <v>47</v>
      </c>
      <c r="I228" s="52">
        <v>58852.5</v>
      </c>
      <c r="J228" s="52">
        <v>12082.52</v>
      </c>
      <c r="S228" s="46">
        <v>45793</v>
      </c>
      <c r="T228" s="46">
        <v>45790</v>
      </c>
      <c r="AC228" s="18" t="s">
        <v>26</v>
      </c>
    </row>
    <row r="229" spans="1:29">
      <c r="A229" s="43">
        <v>218</v>
      </c>
      <c r="B229" s="1" t="s">
        <v>88</v>
      </c>
      <c r="C229" s="21">
        <v>2012502397</v>
      </c>
      <c r="D229" s="21" t="s">
        <v>41</v>
      </c>
      <c r="E229" s="1" t="s">
        <v>469</v>
      </c>
      <c r="F229" s="46">
        <v>45785</v>
      </c>
      <c r="G229" s="46">
        <v>45791</v>
      </c>
      <c r="H229" s="21" t="s">
        <v>47</v>
      </c>
    </row>
    <row r="230" spans="1:29">
      <c r="A230" s="21">
        <v>219</v>
      </c>
      <c r="B230" s="1" t="s">
        <v>88</v>
      </c>
      <c r="C230" s="21">
        <v>2012502409</v>
      </c>
      <c r="D230" s="21" t="s">
        <v>41</v>
      </c>
      <c r="E230" s="1" t="s">
        <v>470</v>
      </c>
      <c r="F230" s="46">
        <v>45785</v>
      </c>
      <c r="G230" s="46">
        <v>45791</v>
      </c>
      <c r="H230" s="21" t="s">
        <v>47</v>
      </c>
      <c r="I230" s="52">
        <v>276</v>
      </c>
      <c r="J230" s="52">
        <v>540</v>
      </c>
      <c r="S230" s="46">
        <v>45789</v>
      </c>
      <c r="T230" s="46">
        <v>45789</v>
      </c>
      <c r="AC230" s="18" t="s">
        <v>26</v>
      </c>
    </row>
    <row r="231" spans="1:29">
      <c r="A231" s="43">
        <v>220</v>
      </c>
      <c r="B231" s="1" t="s">
        <v>107</v>
      </c>
      <c r="C231" s="21" t="s">
        <v>456</v>
      </c>
      <c r="D231" s="21" t="s">
        <v>41</v>
      </c>
      <c r="E231" s="1" t="s">
        <v>461</v>
      </c>
      <c r="F231" s="46">
        <v>45787</v>
      </c>
      <c r="G231" s="46">
        <v>45793</v>
      </c>
      <c r="H231" s="21" t="s">
        <v>47</v>
      </c>
    </row>
    <row r="232" spans="1:29">
      <c r="A232" s="21">
        <v>221</v>
      </c>
      <c r="B232" s="1" t="s">
        <v>107</v>
      </c>
      <c r="C232" s="21" t="s">
        <v>457</v>
      </c>
      <c r="D232" s="21" t="s">
        <v>41</v>
      </c>
      <c r="E232" s="1" t="s">
        <v>410</v>
      </c>
      <c r="F232" s="46">
        <v>45787</v>
      </c>
      <c r="G232" s="46">
        <v>45793</v>
      </c>
      <c r="H232" s="21" t="s">
        <v>47</v>
      </c>
    </row>
    <row r="233" spans="1:29">
      <c r="A233" s="43">
        <v>222</v>
      </c>
      <c r="B233" s="1" t="s">
        <v>107</v>
      </c>
      <c r="C233" s="21" t="s">
        <v>458</v>
      </c>
      <c r="D233" s="21" t="s">
        <v>41</v>
      </c>
      <c r="E233" s="1" t="s">
        <v>462</v>
      </c>
      <c r="F233" s="46">
        <v>45787</v>
      </c>
      <c r="G233" s="46">
        <v>45793</v>
      </c>
      <c r="H233" s="21" t="s">
        <v>47</v>
      </c>
      <c r="I233" s="52">
        <v>7895.65</v>
      </c>
      <c r="S233" s="46">
        <v>45789</v>
      </c>
      <c r="AC233" s="18" t="s">
        <v>26</v>
      </c>
    </row>
    <row r="234" spans="1:29">
      <c r="A234" s="21">
        <v>223</v>
      </c>
      <c r="B234" s="1" t="s">
        <v>107</v>
      </c>
      <c r="C234" s="21" t="s">
        <v>460</v>
      </c>
      <c r="D234" s="21" t="s">
        <v>41</v>
      </c>
      <c r="E234" s="1" t="s">
        <v>463</v>
      </c>
      <c r="F234" s="46">
        <v>45787</v>
      </c>
      <c r="G234" s="46">
        <v>45793</v>
      </c>
      <c r="H234" s="21" t="s">
        <v>47</v>
      </c>
      <c r="I234" s="52">
        <v>184485.44</v>
      </c>
      <c r="J234" s="52">
        <v>250958.83</v>
      </c>
      <c r="S234" s="46">
        <v>45790</v>
      </c>
      <c r="T234" s="46">
        <v>45790</v>
      </c>
      <c r="AC234" s="18" t="s">
        <v>26</v>
      </c>
    </row>
    <row r="235" spans="1:29">
      <c r="A235" s="43">
        <v>224</v>
      </c>
      <c r="B235" s="1" t="s">
        <v>107</v>
      </c>
      <c r="C235" s="21" t="s">
        <v>459</v>
      </c>
      <c r="D235" s="21" t="s">
        <v>41</v>
      </c>
      <c r="E235" s="1" t="s">
        <v>464</v>
      </c>
      <c r="F235" s="46">
        <v>45787</v>
      </c>
      <c r="G235" s="46">
        <v>45793</v>
      </c>
      <c r="H235" s="21" t="s">
        <v>47</v>
      </c>
      <c r="I235" s="52">
        <v>485.1</v>
      </c>
      <c r="J235" s="52">
        <v>10800</v>
      </c>
      <c r="K235" s="52">
        <v>2400</v>
      </c>
      <c r="S235" s="46">
        <v>45790</v>
      </c>
      <c r="T235" s="46">
        <v>45789</v>
      </c>
      <c r="U235" s="46">
        <v>45789</v>
      </c>
      <c r="AC235" s="18" t="s">
        <v>26</v>
      </c>
    </row>
    <row r="236" spans="1:29" ht="30">
      <c r="A236" s="21">
        <v>225</v>
      </c>
      <c r="B236" s="1" t="s">
        <v>291</v>
      </c>
      <c r="C236" s="47" t="s">
        <v>471</v>
      </c>
      <c r="D236" s="21" t="s">
        <v>180</v>
      </c>
      <c r="E236" s="64" t="s">
        <v>472</v>
      </c>
      <c r="F236" s="46">
        <v>45789</v>
      </c>
      <c r="H236" s="21" t="s">
        <v>47</v>
      </c>
      <c r="I236" s="52">
        <v>4364</v>
      </c>
      <c r="S236" s="46">
        <v>45790</v>
      </c>
      <c r="AC236" s="18" t="s">
        <v>26</v>
      </c>
    </row>
    <row r="237" spans="1:29">
      <c r="A237" s="43">
        <v>226</v>
      </c>
      <c r="B237" s="1" t="s">
        <v>88</v>
      </c>
      <c r="C237" s="21">
        <v>2012502414</v>
      </c>
      <c r="D237" s="21" t="s">
        <v>41</v>
      </c>
      <c r="E237" s="1" t="s">
        <v>473</v>
      </c>
      <c r="F237" s="46">
        <v>45789</v>
      </c>
      <c r="G237" s="46">
        <v>45793</v>
      </c>
      <c r="H237" s="21" t="s">
        <v>47</v>
      </c>
      <c r="I237" s="52">
        <v>9184.42</v>
      </c>
      <c r="J237" s="52">
        <v>10096</v>
      </c>
      <c r="S237" s="46">
        <v>45790</v>
      </c>
      <c r="T237" s="46">
        <v>45790</v>
      </c>
      <c r="AC237" s="18" t="s">
        <v>26</v>
      </c>
    </row>
    <row r="238" spans="1:29">
      <c r="A238" s="21">
        <v>227</v>
      </c>
      <c r="B238" s="1" t="s">
        <v>88</v>
      </c>
      <c r="C238" s="21">
        <v>2012502419</v>
      </c>
      <c r="D238" s="21" t="s">
        <v>41</v>
      </c>
      <c r="E238" s="1" t="s">
        <v>474</v>
      </c>
      <c r="F238" s="46">
        <v>45789</v>
      </c>
      <c r="G238" s="46">
        <v>45793</v>
      </c>
      <c r="H238" s="21" t="s">
        <v>47</v>
      </c>
    </row>
    <row r="239" spans="1:29">
      <c r="A239" s="43">
        <v>228</v>
      </c>
      <c r="B239" s="1" t="s">
        <v>88</v>
      </c>
      <c r="C239" s="21">
        <v>2012502423</v>
      </c>
      <c r="D239" s="21" t="s">
        <v>41</v>
      </c>
      <c r="E239" s="1" t="s">
        <v>475</v>
      </c>
      <c r="F239" s="46">
        <v>45789</v>
      </c>
      <c r="G239" s="46">
        <v>45793</v>
      </c>
      <c r="H239" s="21" t="s">
        <v>47</v>
      </c>
    </row>
    <row r="240" spans="1:29">
      <c r="A240" s="21">
        <v>229</v>
      </c>
      <c r="B240" s="1" t="s">
        <v>88</v>
      </c>
      <c r="C240" s="21">
        <v>2012502427</v>
      </c>
      <c r="D240" s="21" t="s">
        <v>41</v>
      </c>
      <c r="E240" s="1" t="s">
        <v>476</v>
      </c>
      <c r="F240" s="46">
        <v>45789</v>
      </c>
      <c r="G240" s="46">
        <v>45793</v>
      </c>
      <c r="H240" s="21" t="s">
        <v>47</v>
      </c>
      <c r="I240" s="52">
        <v>185069.03</v>
      </c>
      <c r="J240" s="52">
        <v>126223.53</v>
      </c>
      <c r="S240" s="46">
        <v>45791</v>
      </c>
      <c r="T240" s="46">
        <v>45791</v>
      </c>
      <c r="AC240" s="18" t="s">
        <v>26</v>
      </c>
    </row>
    <row r="241" spans="1:29">
      <c r="A241" s="43">
        <v>230</v>
      </c>
      <c r="B241" s="1" t="s">
        <v>88</v>
      </c>
      <c r="C241" s="21">
        <v>2012502431</v>
      </c>
      <c r="D241" s="21" t="s">
        <v>41</v>
      </c>
      <c r="E241" s="1" t="s">
        <v>477</v>
      </c>
      <c r="F241" s="46">
        <v>45789</v>
      </c>
      <c r="G241" s="46">
        <v>45793</v>
      </c>
      <c r="H241" s="21" t="s">
        <v>47</v>
      </c>
    </row>
    <row r="242" spans="1:29">
      <c r="A242" s="21">
        <v>231</v>
      </c>
      <c r="B242" s="1" t="s">
        <v>88</v>
      </c>
      <c r="C242" s="21">
        <v>2012502442</v>
      </c>
      <c r="D242" s="21" t="s">
        <v>41</v>
      </c>
      <c r="E242" s="1" t="s">
        <v>478</v>
      </c>
      <c r="F242" s="46">
        <v>45790</v>
      </c>
      <c r="G242" s="46">
        <v>45796</v>
      </c>
      <c r="H242" s="21" t="s">
        <v>47</v>
      </c>
    </row>
    <row r="243" spans="1:29">
      <c r="A243" s="43">
        <v>232</v>
      </c>
      <c r="B243" s="1" t="s">
        <v>291</v>
      </c>
      <c r="C243" s="21" t="s">
        <v>479</v>
      </c>
      <c r="D243" s="21" t="s">
        <v>180</v>
      </c>
      <c r="E243" s="1" t="s">
        <v>480</v>
      </c>
      <c r="F243" s="46">
        <v>45791</v>
      </c>
      <c r="H243" s="21" t="s">
        <v>47</v>
      </c>
      <c r="I243" s="69">
        <v>9730.0491199999997</v>
      </c>
      <c r="S243" s="46">
        <v>45791</v>
      </c>
      <c r="AC243" s="18" t="s">
        <v>26</v>
      </c>
    </row>
    <row r="244" spans="1:29">
      <c r="A244" s="21">
        <v>233</v>
      </c>
      <c r="B244" s="1" t="s">
        <v>107</v>
      </c>
      <c r="C244" s="21" t="s">
        <v>481</v>
      </c>
      <c r="D244" s="21" t="s">
        <v>41</v>
      </c>
      <c r="E244" s="1" t="s">
        <v>485</v>
      </c>
      <c r="F244" s="46">
        <v>45791</v>
      </c>
      <c r="G244" s="46">
        <v>45796</v>
      </c>
      <c r="H244" s="21" t="s">
        <v>47</v>
      </c>
      <c r="I244" s="52">
        <v>23451.86</v>
      </c>
      <c r="S244" s="46">
        <v>45792</v>
      </c>
      <c r="AC244" s="18" t="s">
        <v>26</v>
      </c>
    </row>
    <row r="245" spans="1:29">
      <c r="A245" s="43">
        <v>234</v>
      </c>
      <c r="B245" s="1" t="s">
        <v>107</v>
      </c>
      <c r="C245" s="21" t="s">
        <v>482</v>
      </c>
      <c r="D245" s="21" t="s">
        <v>41</v>
      </c>
      <c r="E245" s="1" t="s">
        <v>486</v>
      </c>
      <c r="F245" s="46">
        <v>45791</v>
      </c>
      <c r="G245" s="46">
        <v>45796</v>
      </c>
      <c r="H245" s="21" t="s">
        <v>47</v>
      </c>
    </row>
    <row r="246" spans="1:29" ht="30">
      <c r="A246" s="21">
        <v>235</v>
      </c>
      <c r="B246" s="1" t="s">
        <v>107</v>
      </c>
      <c r="C246" s="21" t="s">
        <v>483</v>
      </c>
      <c r="D246" s="21" t="s">
        <v>41</v>
      </c>
      <c r="E246" s="64" t="s">
        <v>487</v>
      </c>
      <c r="F246" s="46">
        <v>45791</v>
      </c>
      <c r="G246" s="46">
        <v>45796</v>
      </c>
      <c r="H246" s="21" t="s">
        <v>47</v>
      </c>
      <c r="S246" s="46"/>
    </row>
    <row r="247" spans="1:29" ht="30">
      <c r="A247" s="43">
        <v>236</v>
      </c>
      <c r="B247" s="1" t="s">
        <v>107</v>
      </c>
      <c r="C247" s="21" t="s">
        <v>484</v>
      </c>
      <c r="D247" s="21" t="s">
        <v>41</v>
      </c>
      <c r="E247" s="64" t="s">
        <v>488</v>
      </c>
      <c r="F247" s="46">
        <v>45791</v>
      </c>
      <c r="G247" s="46">
        <v>45796</v>
      </c>
      <c r="H247" s="21" t="s">
        <v>47</v>
      </c>
    </row>
    <row r="248" spans="1:29">
      <c r="A248" s="21">
        <v>237</v>
      </c>
      <c r="B248" s="1" t="s">
        <v>107</v>
      </c>
      <c r="C248" s="21" t="s">
        <v>489</v>
      </c>
      <c r="D248" s="21" t="s">
        <v>41</v>
      </c>
      <c r="E248" s="1" t="s">
        <v>493</v>
      </c>
      <c r="F248" s="46">
        <v>45792</v>
      </c>
      <c r="G248" s="46">
        <v>45796</v>
      </c>
      <c r="H248" s="21" t="s">
        <v>47</v>
      </c>
    </row>
    <row r="249" spans="1:29">
      <c r="A249" s="43">
        <v>238</v>
      </c>
      <c r="B249" s="1" t="s">
        <v>107</v>
      </c>
      <c r="C249" s="21" t="s">
        <v>490</v>
      </c>
      <c r="D249" s="21" t="s">
        <v>41</v>
      </c>
      <c r="E249" s="1" t="s">
        <v>494</v>
      </c>
      <c r="F249" s="46">
        <v>45792</v>
      </c>
      <c r="G249" s="46">
        <v>45796</v>
      </c>
      <c r="H249" s="21" t="s">
        <v>47</v>
      </c>
    </row>
    <row r="250" spans="1:29">
      <c r="A250" s="21">
        <v>239</v>
      </c>
      <c r="B250" s="1" t="s">
        <v>107</v>
      </c>
      <c r="C250" s="21" t="s">
        <v>491</v>
      </c>
      <c r="D250" s="21" t="s">
        <v>41</v>
      </c>
      <c r="E250" s="1" t="s">
        <v>495</v>
      </c>
      <c r="F250" s="46">
        <v>45792</v>
      </c>
      <c r="G250" s="46">
        <v>45796</v>
      </c>
      <c r="H250" s="21" t="s">
        <v>47</v>
      </c>
    </row>
    <row r="251" spans="1:29">
      <c r="A251" s="43">
        <v>240</v>
      </c>
      <c r="B251" s="1" t="s">
        <v>107</v>
      </c>
      <c r="C251" s="21" t="s">
        <v>492</v>
      </c>
      <c r="D251" s="21" t="s">
        <v>41</v>
      </c>
      <c r="E251" s="1" t="s">
        <v>496</v>
      </c>
      <c r="F251" s="46">
        <v>45792</v>
      </c>
      <c r="G251" s="46">
        <v>45796</v>
      </c>
      <c r="H251" s="21" t="s">
        <v>47</v>
      </c>
      <c r="I251" s="52">
        <v>112896</v>
      </c>
      <c r="S251" s="46">
        <v>45794</v>
      </c>
      <c r="AC251" s="18" t="s">
        <v>26</v>
      </c>
    </row>
    <row r="252" spans="1:29" ht="30">
      <c r="A252" s="21">
        <v>241</v>
      </c>
      <c r="B252" s="1" t="s">
        <v>291</v>
      </c>
      <c r="C252" s="21" t="s">
        <v>497</v>
      </c>
      <c r="D252" s="21" t="s">
        <v>180</v>
      </c>
      <c r="E252" s="64" t="s">
        <v>498</v>
      </c>
      <c r="F252" s="46">
        <v>45793</v>
      </c>
      <c r="H252" s="21" t="s">
        <v>47</v>
      </c>
      <c r="I252" s="52">
        <v>2626</v>
      </c>
      <c r="S252" s="46">
        <v>45793</v>
      </c>
      <c r="AC252" s="18" t="s">
        <v>26</v>
      </c>
    </row>
    <row r="253" spans="1:29" ht="30">
      <c r="A253" s="43">
        <v>242</v>
      </c>
      <c r="B253" s="1" t="s">
        <v>291</v>
      </c>
      <c r="C253" s="21" t="s">
        <v>499</v>
      </c>
      <c r="D253" s="21" t="s">
        <v>180</v>
      </c>
      <c r="E253" s="64" t="s">
        <v>500</v>
      </c>
      <c r="F253" s="46">
        <v>45793</v>
      </c>
      <c r="H253" s="21" t="s">
        <v>47</v>
      </c>
    </row>
    <row r="254" spans="1:29">
      <c r="A254" s="21">
        <v>243</v>
      </c>
      <c r="B254" s="1" t="s">
        <v>88</v>
      </c>
      <c r="C254" s="21">
        <v>2012502476</v>
      </c>
      <c r="D254" s="21" t="s">
        <v>41</v>
      </c>
      <c r="E254" s="1" t="s">
        <v>501</v>
      </c>
      <c r="F254" s="46">
        <v>45791</v>
      </c>
      <c r="G254" s="46">
        <v>45797</v>
      </c>
      <c r="H254" s="21" t="s">
        <v>47</v>
      </c>
    </row>
    <row r="255" spans="1:29">
      <c r="A255" s="43">
        <v>244</v>
      </c>
      <c r="B255" s="1" t="s">
        <v>88</v>
      </c>
      <c r="C255" s="21">
        <v>2012502480</v>
      </c>
      <c r="D255" s="21" t="s">
        <v>41</v>
      </c>
      <c r="E255" s="1" t="s">
        <v>502</v>
      </c>
      <c r="F255" s="46">
        <v>45791</v>
      </c>
      <c r="G255" s="46">
        <v>45797</v>
      </c>
      <c r="H255" s="21" t="s">
        <v>47</v>
      </c>
    </row>
    <row r="256" spans="1:29">
      <c r="A256" s="21">
        <v>245</v>
      </c>
      <c r="B256" s="1" t="s">
        <v>88</v>
      </c>
      <c r="C256" s="21">
        <v>2012502484</v>
      </c>
      <c r="D256" s="21" t="s">
        <v>41</v>
      </c>
      <c r="E256" s="1" t="s">
        <v>503</v>
      </c>
      <c r="F256" s="46">
        <v>45791</v>
      </c>
      <c r="G256" s="46">
        <v>45797</v>
      </c>
      <c r="H256" s="21" t="s">
        <v>47</v>
      </c>
    </row>
    <row r="257" spans="1:29">
      <c r="A257" s="43">
        <v>246</v>
      </c>
      <c r="B257" s="1" t="s">
        <v>88</v>
      </c>
      <c r="C257" s="21">
        <v>2012502488</v>
      </c>
      <c r="D257" s="21" t="s">
        <v>41</v>
      </c>
      <c r="E257" s="1" t="s">
        <v>504</v>
      </c>
      <c r="F257" s="46">
        <v>45791</v>
      </c>
      <c r="G257" s="46">
        <v>45797</v>
      </c>
      <c r="H257" s="21" t="s">
        <v>47</v>
      </c>
      <c r="I257" s="52">
        <v>10164</v>
      </c>
      <c r="S257" s="46">
        <v>45796</v>
      </c>
      <c r="AC257" s="18" t="s">
        <v>26</v>
      </c>
    </row>
    <row r="258" spans="1:29">
      <c r="A258" s="21">
        <v>247</v>
      </c>
      <c r="B258" s="1" t="s">
        <v>88</v>
      </c>
      <c r="C258" s="21">
        <v>2012502508</v>
      </c>
      <c r="D258" s="21" t="s">
        <v>41</v>
      </c>
      <c r="E258" s="1" t="s">
        <v>505</v>
      </c>
      <c r="F258" s="46">
        <v>45792</v>
      </c>
      <c r="G258" s="46">
        <v>45798</v>
      </c>
      <c r="H258" s="21" t="s">
        <v>47</v>
      </c>
    </row>
    <row r="259" spans="1:29">
      <c r="A259" s="43">
        <v>248</v>
      </c>
      <c r="B259" s="1" t="s">
        <v>88</v>
      </c>
      <c r="C259" s="21">
        <v>2012502512</v>
      </c>
      <c r="D259" s="21" t="s">
        <v>41</v>
      </c>
      <c r="E259" s="1" t="s">
        <v>506</v>
      </c>
      <c r="F259" s="46">
        <v>45792</v>
      </c>
      <c r="G259" s="46">
        <v>45798</v>
      </c>
      <c r="H259" s="21" t="s">
        <v>47</v>
      </c>
    </row>
    <row r="260" spans="1:29">
      <c r="A260" s="21">
        <v>249</v>
      </c>
      <c r="B260" s="1" t="s">
        <v>88</v>
      </c>
      <c r="C260" s="21">
        <v>2012502516</v>
      </c>
      <c r="D260" s="21" t="s">
        <v>41</v>
      </c>
      <c r="E260" s="1" t="s">
        <v>507</v>
      </c>
      <c r="F260" s="46">
        <v>45792</v>
      </c>
      <c r="G260" s="46">
        <v>45798</v>
      </c>
      <c r="H260" s="21" t="s">
        <v>47</v>
      </c>
    </row>
    <row r="261" spans="1:29">
      <c r="A261" s="43">
        <v>250</v>
      </c>
      <c r="B261" s="1" t="s">
        <v>88</v>
      </c>
      <c r="C261" s="66">
        <v>2012502520</v>
      </c>
      <c r="D261" s="21" t="s">
        <v>41</v>
      </c>
      <c r="E261" s="1" t="s">
        <v>508</v>
      </c>
      <c r="F261" s="46">
        <v>45792</v>
      </c>
      <c r="G261" s="46">
        <v>45798</v>
      </c>
      <c r="H261" s="21" t="s">
        <v>47</v>
      </c>
    </row>
    <row r="262" spans="1:29" ht="30">
      <c r="A262" s="21">
        <v>251</v>
      </c>
      <c r="B262" s="1" t="s">
        <v>107</v>
      </c>
      <c r="C262" s="21" t="s">
        <v>509</v>
      </c>
      <c r="D262" s="21" t="s">
        <v>41</v>
      </c>
      <c r="E262" s="64" t="s">
        <v>515</v>
      </c>
      <c r="F262" s="46">
        <v>45797</v>
      </c>
      <c r="G262" s="46">
        <v>45803</v>
      </c>
      <c r="H262" s="21" t="s">
        <v>47</v>
      </c>
      <c r="I262" s="52">
        <v>80850</v>
      </c>
      <c r="S262" s="46">
        <v>45798</v>
      </c>
      <c r="AC262" s="18" t="s">
        <v>26</v>
      </c>
    </row>
    <row r="263" spans="1:29">
      <c r="A263" s="43">
        <v>252</v>
      </c>
      <c r="B263" s="1" t="s">
        <v>107</v>
      </c>
      <c r="C263" s="21" t="s">
        <v>510</v>
      </c>
      <c r="D263" s="21" t="s">
        <v>41</v>
      </c>
      <c r="E263" s="1" t="s">
        <v>368</v>
      </c>
      <c r="F263" s="46">
        <v>45797</v>
      </c>
      <c r="G263" s="46">
        <v>45803</v>
      </c>
      <c r="H263" s="21" t="s">
        <v>47</v>
      </c>
    </row>
    <row r="264" spans="1:29">
      <c r="A264" s="21">
        <v>253</v>
      </c>
      <c r="B264" s="1" t="s">
        <v>107</v>
      </c>
      <c r="C264" s="21" t="s">
        <v>511</v>
      </c>
      <c r="D264" s="21" t="s">
        <v>41</v>
      </c>
      <c r="E264" s="1" t="s">
        <v>516</v>
      </c>
      <c r="F264" s="46">
        <v>45797</v>
      </c>
      <c r="G264" s="46">
        <v>45803</v>
      </c>
      <c r="H264" s="21" t="s">
        <v>47</v>
      </c>
    </row>
    <row r="265" spans="1:29">
      <c r="A265" s="43">
        <v>254</v>
      </c>
      <c r="B265" s="1" t="s">
        <v>107</v>
      </c>
      <c r="C265" s="21" t="s">
        <v>512</v>
      </c>
      <c r="D265" s="21" t="s">
        <v>41</v>
      </c>
      <c r="E265" s="1" t="s">
        <v>517</v>
      </c>
      <c r="F265" s="46">
        <v>45797</v>
      </c>
      <c r="G265" s="46">
        <v>45803</v>
      </c>
      <c r="H265" s="21" t="s">
        <v>47</v>
      </c>
      <c r="I265" s="52">
        <v>10080</v>
      </c>
      <c r="J265" s="52">
        <v>8820</v>
      </c>
      <c r="S265" s="46">
        <v>45797</v>
      </c>
      <c r="T265" s="46">
        <v>45799</v>
      </c>
      <c r="AC265" s="18" t="s">
        <v>26</v>
      </c>
    </row>
    <row r="266" spans="1:29">
      <c r="A266" s="21">
        <v>255</v>
      </c>
      <c r="B266" s="1" t="s">
        <v>107</v>
      </c>
      <c r="C266" s="21" t="s">
        <v>513</v>
      </c>
      <c r="D266" s="21" t="s">
        <v>41</v>
      </c>
      <c r="E266" s="1" t="s">
        <v>518</v>
      </c>
      <c r="F266" s="46">
        <v>45797</v>
      </c>
      <c r="G266" s="46">
        <v>45803</v>
      </c>
      <c r="H266" s="21" t="s">
        <v>47</v>
      </c>
      <c r="I266" s="52">
        <v>31290</v>
      </c>
      <c r="S266" s="46">
        <v>45798</v>
      </c>
      <c r="AC266" s="18" t="s">
        <v>26</v>
      </c>
    </row>
    <row r="267" spans="1:29">
      <c r="A267" s="43">
        <v>256</v>
      </c>
      <c r="B267" s="1" t="s">
        <v>107</v>
      </c>
      <c r="C267" s="21" t="s">
        <v>514</v>
      </c>
      <c r="D267" s="21" t="s">
        <v>41</v>
      </c>
      <c r="E267" s="1" t="s">
        <v>519</v>
      </c>
      <c r="F267" s="46">
        <v>45797</v>
      </c>
      <c r="G267" s="46">
        <v>45803</v>
      </c>
      <c r="H267" s="21" t="s">
        <v>47</v>
      </c>
    </row>
    <row r="268" spans="1:29">
      <c r="A268" s="21">
        <v>257</v>
      </c>
      <c r="B268" s="1" t="s">
        <v>291</v>
      </c>
      <c r="C268" s="21" t="s">
        <v>520</v>
      </c>
      <c r="D268" s="21" t="s">
        <v>180</v>
      </c>
      <c r="E268" s="1" t="s">
        <v>521</v>
      </c>
      <c r="F268" s="46">
        <v>45797</v>
      </c>
      <c r="H268" s="21" t="s">
        <v>47</v>
      </c>
    </row>
    <row r="269" spans="1:29">
      <c r="A269" s="43">
        <v>258</v>
      </c>
      <c r="B269" s="1" t="s">
        <v>88</v>
      </c>
      <c r="C269" s="21">
        <v>2012502573</v>
      </c>
      <c r="D269" s="21" t="s">
        <v>41</v>
      </c>
      <c r="E269" s="1" t="s">
        <v>522</v>
      </c>
      <c r="F269" s="46">
        <v>45796</v>
      </c>
      <c r="G269" s="46">
        <v>45800</v>
      </c>
      <c r="H269" s="21" t="s">
        <v>47</v>
      </c>
    </row>
    <row r="270" spans="1:29">
      <c r="A270" s="21">
        <v>259</v>
      </c>
      <c r="B270" s="1" t="s">
        <v>88</v>
      </c>
      <c r="C270" s="21">
        <v>2012502578</v>
      </c>
      <c r="D270" s="21" t="s">
        <v>41</v>
      </c>
      <c r="E270" s="1" t="s">
        <v>523</v>
      </c>
      <c r="F270" s="46">
        <v>45796</v>
      </c>
      <c r="G270" s="46">
        <v>45800</v>
      </c>
      <c r="H270" s="21" t="s">
        <v>47</v>
      </c>
    </row>
    <row r="271" spans="1:29">
      <c r="A271" s="43">
        <v>260</v>
      </c>
      <c r="B271" s="1" t="s">
        <v>88</v>
      </c>
      <c r="C271" s="21">
        <v>2012502583</v>
      </c>
      <c r="D271" s="21" t="s">
        <v>41</v>
      </c>
      <c r="E271" s="67" t="s">
        <v>524</v>
      </c>
      <c r="F271" s="46">
        <v>45796</v>
      </c>
      <c r="G271" s="46">
        <v>45800</v>
      </c>
      <c r="H271" s="21" t="s">
        <v>47</v>
      </c>
    </row>
    <row r="272" spans="1:29">
      <c r="A272" s="21">
        <v>261</v>
      </c>
      <c r="B272" s="1" t="s">
        <v>88</v>
      </c>
      <c r="C272" s="21">
        <v>2012502587</v>
      </c>
      <c r="D272" s="21" t="s">
        <v>41</v>
      </c>
      <c r="E272" s="67" t="s">
        <v>525</v>
      </c>
      <c r="F272" s="46">
        <v>45796</v>
      </c>
      <c r="G272" s="46">
        <v>45800</v>
      </c>
      <c r="H272" s="21" t="s">
        <v>47</v>
      </c>
      <c r="I272" s="52">
        <v>1375.5</v>
      </c>
      <c r="S272" s="46">
        <v>45799</v>
      </c>
      <c r="AC272" s="18" t="s">
        <v>26</v>
      </c>
    </row>
    <row r="273" spans="1:29">
      <c r="A273" s="43">
        <v>262</v>
      </c>
      <c r="B273" s="1" t="s">
        <v>88</v>
      </c>
      <c r="C273" s="21">
        <v>2012502600</v>
      </c>
      <c r="D273" s="21" t="s">
        <v>41</v>
      </c>
      <c r="E273" s="1" t="s">
        <v>526</v>
      </c>
      <c r="F273" s="46">
        <v>45797</v>
      </c>
      <c r="G273" s="46">
        <v>45803</v>
      </c>
      <c r="H273" s="21" t="s">
        <v>47</v>
      </c>
      <c r="I273" s="52">
        <v>72331</v>
      </c>
      <c r="S273" s="46">
        <v>45800</v>
      </c>
      <c r="AC273" s="18" t="s">
        <v>26</v>
      </c>
    </row>
    <row r="274" spans="1:29">
      <c r="A274" s="21">
        <v>263</v>
      </c>
      <c r="B274" s="1" t="s">
        <v>88</v>
      </c>
      <c r="C274" s="21">
        <v>2012502605</v>
      </c>
      <c r="D274" s="21" t="s">
        <v>41</v>
      </c>
      <c r="E274" s="1" t="s">
        <v>527</v>
      </c>
      <c r="F274" s="46">
        <v>45797</v>
      </c>
      <c r="G274" s="46">
        <v>45803</v>
      </c>
      <c r="H274" s="21" t="s">
        <v>47</v>
      </c>
      <c r="I274" s="52">
        <v>17000</v>
      </c>
      <c r="S274" s="46">
        <v>45799</v>
      </c>
      <c r="AC274" s="18" t="s">
        <v>26</v>
      </c>
    </row>
    <row r="275" spans="1:29">
      <c r="A275" s="43">
        <v>264</v>
      </c>
      <c r="B275" s="1" t="s">
        <v>88</v>
      </c>
      <c r="C275" s="21">
        <v>2012502607</v>
      </c>
      <c r="D275" s="21" t="s">
        <v>41</v>
      </c>
      <c r="E275" s="1" t="s">
        <v>528</v>
      </c>
      <c r="F275" s="46">
        <v>45797</v>
      </c>
      <c r="G275" s="46">
        <v>45803</v>
      </c>
      <c r="H275" s="21" t="s">
        <v>47</v>
      </c>
    </row>
    <row r="276" spans="1:29">
      <c r="A276" s="21">
        <v>265</v>
      </c>
      <c r="B276" s="1" t="s">
        <v>291</v>
      </c>
      <c r="C276" s="21" t="s">
        <v>529</v>
      </c>
      <c r="D276" s="21" t="s">
        <v>180</v>
      </c>
      <c r="E276" s="1" t="s">
        <v>530</v>
      </c>
      <c r="F276" s="46">
        <v>45799</v>
      </c>
      <c r="H276" s="21" t="s">
        <v>47</v>
      </c>
    </row>
    <row r="277" spans="1:29">
      <c r="A277" s="43">
        <v>266</v>
      </c>
      <c r="B277" s="1" t="s">
        <v>107</v>
      </c>
      <c r="C277" s="21" t="s">
        <v>531</v>
      </c>
      <c r="D277" s="21" t="s">
        <v>41</v>
      </c>
      <c r="E277" s="1" t="s">
        <v>537</v>
      </c>
      <c r="F277" s="46">
        <v>45799</v>
      </c>
      <c r="G277" s="46">
        <v>45804</v>
      </c>
      <c r="H277" s="21" t="s">
        <v>47</v>
      </c>
    </row>
    <row r="278" spans="1:29">
      <c r="A278" s="21">
        <v>267</v>
      </c>
      <c r="B278" s="1" t="s">
        <v>107</v>
      </c>
      <c r="C278" s="21" t="s">
        <v>532</v>
      </c>
      <c r="D278" s="21" t="s">
        <v>41</v>
      </c>
      <c r="E278" s="1" t="s">
        <v>538</v>
      </c>
      <c r="F278" s="46">
        <v>45799</v>
      </c>
      <c r="G278" s="46">
        <v>45804</v>
      </c>
      <c r="H278" s="21" t="s">
        <v>47</v>
      </c>
    </row>
    <row r="279" spans="1:29">
      <c r="A279" s="43">
        <v>268</v>
      </c>
      <c r="B279" s="1" t="s">
        <v>107</v>
      </c>
      <c r="C279" s="47" t="s">
        <v>533</v>
      </c>
      <c r="D279" s="21" t="s">
        <v>41</v>
      </c>
      <c r="E279" s="1" t="s">
        <v>539</v>
      </c>
      <c r="F279" s="46">
        <v>45799</v>
      </c>
      <c r="G279" s="46">
        <v>45804</v>
      </c>
      <c r="H279" s="21" t="s">
        <v>47</v>
      </c>
      <c r="I279" s="52">
        <v>734.5</v>
      </c>
      <c r="S279" s="46">
        <v>45799</v>
      </c>
      <c r="T279" s="46"/>
      <c r="AC279" s="18" t="s">
        <v>26</v>
      </c>
    </row>
    <row r="280" spans="1:29">
      <c r="A280" s="21">
        <v>269</v>
      </c>
      <c r="B280" s="1" t="s">
        <v>107</v>
      </c>
      <c r="C280" s="21" t="s">
        <v>534</v>
      </c>
      <c r="D280" s="21" t="s">
        <v>41</v>
      </c>
      <c r="E280" s="1" t="s">
        <v>540</v>
      </c>
      <c r="F280" s="46">
        <v>45799</v>
      </c>
      <c r="G280" s="46">
        <v>45804</v>
      </c>
      <c r="H280" s="21" t="s">
        <v>47</v>
      </c>
    </row>
    <row r="281" spans="1:29">
      <c r="A281" s="43">
        <v>270</v>
      </c>
      <c r="B281" s="1" t="s">
        <v>107</v>
      </c>
      <c r="C281" s="21" t="s">
        <v>535</v>
      </c>
      <c r="D281" s="21" t="s">
        <v>41</v>
      </c>
      <c r="E281" s="1" t="s">
        <v>541</v>
      </c>
      <c r="F281" s="46">
        <v>45799</v>
      </c>
      <c r="G281" s="46">
        <v>45804</v>
      </c>
      <c r="H281" s="21" t="s">
        <v>47</v>
      </c>
      <c r="I281" s="52">
        <v>23500</v>
      </c>
      <c r="S281" s="46">
        <v>45799</v>
      </c>
      <c r="AC281" s="18" t="s">
        <v>26</v>
      </c>
    </row>
    <row r="282" spans="1:29">
      <c r="A282" s="21">
        <v>271</v>
      </c>
      <c r="B282" s="1" t="s">
        <v>107</v>
      </c>
      <c r="C282" s="21" t="s">
        <v>536</v>
      </c>
      <c r="D282" s="21" t="s">
        <v>41</v>
      </c>
      <c r="E282" s="1" t="s">
        <v>542</v>
      </c>
      <c r="F282" s="46">
        <v>45799</v>
      </c>
      <c r="G282" s="46">
        <v>45804</v>
      </c>
      <c r="H282" s="21" t="s">
        <v>47</v>
      </c>
    </row>
    <row r="283" spans="1:29">
      <c r="A283" s="43">
        <v>272</v>
      </c>
      <c r="B283" s="1" t="s">
        <v>291</v>
      </c>
      <c r="C283" s="21" t="s">
        <v>543</v>
      </c>
      <c r="D283" s="21" t="s">
        <v>180</v>
      </c>
      <c r="E283" s="1" t="s">
        <v>544</v>
      </c>
      <c r="F283" s="46">
        <v>45800</v>
      </c>
      <c r="H283" s="21" t="s">
        <v>47</v>
      </c>
      <c r="I283" s="68">
        <v>97.5</v>
      </c>
      <c r="J283" s="52">
        <v>105</v>
      </c>
      <c r="K283" s="52">
        <v>105</v>
      </c>
      <c r="L283" s="52">
        <v>78.75</v>
      </c>
      <c r="S283" s="46">
        <v>45801</v>
      </c>
      <c r="T283" s="46">
        <v>45800</v>
      </c>
      <c r="U283" s="46">
        <v>45800</v>
      </c>
      <c r="V283" s="46">
        <v>45800</v>
      </c>
      <c r="AC283" s="18" t="s">
        <v>26</v>
      </c>
    </row>
    <row r="284" spans="1:29">
      <c r="A284" s="21">
        <v>273</v>
      </c>
      <c r="B284" s="1" t="s">
        <v>291</v>
      </c>
      <c r="C284" s="21" t="s">
        <v>545</v>
      </c>
      <c r="D284" s="21" t="s">
        <v>180</v>
      </c>
      <c r="E284" s="1" t="s">
        <v>546</v>
      </c>
      <c r="F284" s="46">
        <v>45800</v>
      </c>
      <c r="H284" s="21" t="s">
        <v>47</v>
      </c>
      <c r="I284" s="52">
        <v>4927</v>
      </c>
      <c r="J284" s="52">
        <v>7761</v>
      </c>
      <c r="K284" s="52">
        <v>1620</v>
      </c>
      <c r="S284" s="46">
        <v>45800</v>
      </c>
      <c r="T284" s="46">
        <v>45800</v>
      </c>
      <c r="U284" s="46">
        <v>45801</v>
      </c>
      <c r="AC284" s="18" t="s">
        <v>26</v>
      </c>
    </row>
    <row r="285" spans="1:29" ht="30">
      <c r="A285" s="21">
        <v>274</v>
      </c>
      <c r="B285" s="1" t="s">
        <v>95</v>
      </c>
      <c r="C285" s="21" t="s">
        <v>547</v>
      </c>
      <c r="D285" s="21" t="s">
        <v>180</v>
      </c>
      <c r="E285" s="64" t="s">
        <v>548</v>
      </c>
      <c r="F285" s="46">
        <v>45800</v>
      </c>
      <c r="H285" s="21" t="s">
        <v>47</v>
      </c>
      <c r="I285" s="52">
        <v>17240.98</v>
      </c>
      <c r="S285" s="46">
        <v>45803</v>
      </c>
      <c r="AC285" s="18" t="s">
        <v>26</v>
      </c>
    </row>
    <row r="286" spans="1:29">
      <c r="A286" s="21">
        <v>275</v>
      </c>
      <c r="B286" s="1" t="s">
        <v>95</v>
      </c>
      <c r="C286" s="21" t="s">
        <v>549</v>
      </c>
      <c r="D286" s="21" t="s">
        <v>180</v>
      </c>
      <c r="E286" s="64" t="s">
        <v>550</v>
      </c>
      <c r="F286" s="46">
        <v>45800</v>
      </c>
      <c r="H286" s="21" t="s">
        <v>47</v>
      </c>
      <c r="I286" s="52">
        <v>43262.05</v>
      </c>
      <c r="S286" s="46">
        <v>45806</v>
      </c>
      <c r="AC286" s="18" t="s">
        <v>26</v>
      </c>
    </row>
    <row r="287" spans="1:29">
      <c r="A287" s="21">
        <v>276</v>
      </c>
      <c r="B287" s="1" t="s">
        <v>95</v>
      </c>
      <c r="C287" s="21" t="s">
        <v>551</v>
      </c>
      <c r="D287" s="21" t="s">
        <v>180</v>
      </c>
      <c r="E287" s="1" t="s">
        <v>552</v>
      </c>
      <c r="F287" s="46">
        <v>45801</v>
      </c>
      <c r="H287" s="21" t="s">
        <v>47</v>
      </c>
    </row>
    <row r="288" spans="1:29">
      <c r="A288" s="21">
        <v>277</v>
      </c>
      <c r="B288" s="1" t="s">
        <v>95</v>
      </c>
      <c r="C288" s="21" t="s">
        <v>558</v>
      </c>
      <c r="D288" s="21" t="s">
        <v>180</v>
      </c>
      <c r="E288" s="64" t="s">
        <v>557</v>
      </c>
      <c r="F288" s="46">
        <v>45803</v>
      </c>
      <c r="H288" s="21" t="s">
        <v>47</v>
      </c>
      <c r="I288" s="52">
        <v>147577.5</v>
      </c>
      <c r="S288" s="46">
        <v>45805</v>
      </c>
      <c r="AC288" s="18" t="s">
        <v>26</v>
      </c>
    </row>
    <row r="289" spans="1:29">
      <c r="A289" s="21">
        <v>278</v>
      </c>
      <c r="B289" s="1" t="s">
        <v>91</v>
      </c>
      <c r="C289" s="21" t="s">
        <v>553</v>
      </c>
      <c r="D289" s="21" t="s">
        <v>180</v>
      </c>
      <c r="E289" s="1" t="s">
        <v>554</v>
      </c>
      <c r="F289" s="46">
        <v>45803</v>
      </c>
      <c r="H289" s="21" t="s">
        <v>47</v>
      </c>
    </row>
    <row r="290" spans="1:29">
      <c r="A290" s="21">
        <v>279</v>
      </c>
      <c r="B290" s="1" t="s">
        <v>91</v>
      </c>
      <c r="C290" s="21" t="s">
        <v>555</v>
      </c>
      <c r="D290" s="21" t="s">
        <v>180</v>
      </c>
      <c r="E290" s="1" t="s">
        <v>556</v>
      </c>
      <c r="F290" s="46">
        <v>45803</v>
      </c>
      <c r="H290" s="21" t="s">
        <v>47</v>
      </c>
    </row>
    <row r="291" spans="1:29">
      <c r="A291" s="21">
        <v>280</v>
      </c>
      <c r="B291" s="1" t="s">
        <v>91</v>
      </c>
      <c r="C291" s="21" t="s">
        <v>559</v>
      </c>
      <c r="D291" s="21" t="s">
        <v>180</v>
      </c>
      <c r="E291" s="1" t="s">
        <v>560</v>
      </c>
      <c r="F291" s="46">
        <v>45804</v>
      </c>
      <c r="H291" s="21" t="s">
        <v>47</v>
      </c>
      <c r="I291" s="52">
        <v>2574</v>
      </c>
      <c r="S291" s="46">
        <v>45805</v>
      </c>
      <c r="AC291" s="18" t="s">
        <v>26</v>
      </c>
    </row>
    <row r="292" spans="1:29">
      <c r="A292" s="21">
        <v>281</v>
      </c>
      <c r="B292" s="1" t="s">
        <v>107</v>
      </c>
      <c r="C292" s="21" t="s">
        <v>561</v>
      </c>
      <c r="D292" s="21" t="s">
        <v>41</v>
      </c>
      <c r="E292" s="1" t="s">
        <v>587</v>
      </c>
      <c r="F292" s="46">
        <v>45804</v>
      </c>
      <c r="G292" s="46">
        <v>45809</v>
      </c>
      <c r="H292" s="21" t="s">
        <v>47</v>
      </c>
    </row>
    <row r="293" spans="1:29">
      <c r="A293" s="21">
        <v>282</v>
      </c>
      <c r="B293" s="1" t="s">
        <v>107</v>
      </c>
      <c r="C293" s="21" t="s">
        <v>562</v>
      </c>
      <c r="D293" s="21" t="s">
        <v>41</v>
      </c>
      <c r="E293" s="1" t="s">
        <v>588</v>
      </c>
      <c r="F293" s="46">
        <v>45804</v>
      </c>
      <c r="G293" s="46">
        <v>45809</v>
      </c>
      <c r="H293" s="21" t="s">
        <v>47</v>
      </c>
    </row>
    <row r="294" spans="1:29">
      <c r="A294" s="21">
        <v>283</v>
      </c>
      <c r="B294" s="1" t="s">
        <v>107</v>
      </c>
      <c r="C294" s="21" t="s">
        <v>563</v>
      </c>
      <c r="D294" s="21" t="s">
        <v>41</v>
      </c>
      <c r="E294" s="1" t="s">
        <v>589</v>
      </c>
      <c r="F294" s="46">
        <v>45804</v>
      </c>
      <c r="G294" s="46">
        <v>45809</v>
      </c>
      <c r="H294" s="21" t="s">
        <v>47</v>
      </c>
    </row>
    <row r="295" spans="1:29">
      <c r="A295" s="21">
        <v>284</v>
      </c>
      <c r="B295" s="1" t="s">
        <v>107</v>
      </c>
      <c r="C295" s="21" t="s">
        <v>564</v>
      </c>
      <c r="D295" s="21" t="s">
        <v>41</v>
      </c>
      <c r="E295" s="1" t="s">
        <v>590</v>
      </c>
      <c r="F295" s="46">
        <v>45804</v>
      </c>
      <c r="G295" s="46">
        <v>45809</v>
      </c>
      <c r="H295" s="21" t="s">
        <v>47</v>
      </c>
    </row>
    <row r="296" spans="1:29">
      <c r="A296" s="21">
        <v>285</v>
      </c>
      <c r="B296" s="1" t="s">
        <v>107</v>
      </c>
      <c r="C296" s="21" t="s">
        <v>565</v>
      </c>
      <c r="D296" s="21" t="s">
        <v>41</v>
      </c>
      <c r="E296" s="1" t="s">
        <v>494</v>
      </c>
      <c r="F296" s="46">
        <v>45804</v>
      </c>
      <c r="G296" s="46">
        <v>45809</v>
      </c>
      <c r="H296" s="21" t="s">
        <v>47</v>
      </c>
    </row>
    <row r="297" spans="1:29">
      <c r="A297" s="21">
        <v>286</v>
      </c>
      <c r="B297" s="1" t="s">
        <v>107</v>
      </c>
      <c r="C297" s="21" t="s">
        <v>566</v>
      </c>
      <c r="D297" s="21" t="s">
        <v>41</v>
      </c>
      <c r="E297" s="1" t="s">
        <v>591</v>
      </c>
      <c r="F297" s="46">
        <v>45804</v>
      </c>
      <c r="G297" s="46">
        <v>45809</v>
      </c>
      <c r="H297" s="21" t="s">
        <v>47</v>
      </c>
    </row>
    <row r="298" spans="1:29">
      <c r="A298" s="21">
        <v>287</v>
      </c>
      <c r="B298" s="1" t="s">
        <v>107</v>
      </c>
      <c r="C298" s="21" t="s">
        <v>567</v>
      </c>
      <c r="D298" s="21" t="s">
        <v>41</v>
      </c>
      <c r="E298" s="1" t="s">
        <v>592</v>
      </c>
      <c r="F298" s="46">
        <v>45804</v>
      </c>
      <c r="G298" s="46">
        <v>45809</v>
      </c>
      <c r="H298" s="21" t="s">
        <v>47</v>
      </c>
      <c r="I298" s="52">
        <v>4850</v>
      </c>
      <c r="S298" s="46">
        <v>45806</v>
      </c>
      <c r="AC298" s="18" t="s">
        <v>26</v>
      </c>
    </row>
    <row r="299" spans="1:29" ht="30">
      <c r="A299" s="21">
        <v>288</v>
      </c>
      <c r="B299" s="1" t="s">
        <v>107</v>
      </c>
      <c r="C299" s="21" t="s">
        <v>568</v>
      </c>
      <c r="D299" s="21" t="s">
        <v>41</v>
      </c>
      <c r="E299" s="64" t="s">
        <v>593</v>
      </c>
      <c r="F299" s="46">
        <v>45804</v>
      </c>
      <c r="G299" s="46">
        <v>45809</v>
      </c>
      <c r="H299" s="21" t="s">
        <v>47</v>
      </c>
    </row>
    <row r="300" spans="1:29" ht="30">
      <c r="A300" s="21">
        <v>289</v>
      </c>
      <c r="B300" s="1" t="s">
        <v>107</v>
      </c>
      <c r="C300" s="21" t="s">
        <v>569</v>
      </c>
      <c r="D300" s="21" t="s">
        <v>41</v>
      </c>
      <c r="E300" s="64" t="s">
        <v>594</v>
      </c>
      <c r="F300" s="46">
        <v>45804</v>
      </c>
      <c r="G300" s="46">
        <v>45809</v>
      </c>
      <c r="H300" s="21" t="s">
        <v>47</v>
      </c>
    </row>
    <row r="301" spans="1:29">
      <c r="A301" s="21">
        <v>290</v>
      </c>
      <c r="B301" s="1" t="s">
        <v>107</v>
      </c>
      <c r="C301" s="21" t="s">
        <v>570</v>
      </c>
      <c r="D301" s="21" t="s">
        <v>41</v>
      </c>
      <c r="E301" s="1" t="s">
        <v>595</v>
      </c>
      <c r="F301" s="46">
        <v>45804</v>
      </c>
      <c r="G301" s="46">
        <v>45809</v>
      </c>
      <c r="H301" s="21" t="s">
        <v>47</v>
      </c>
    </row>
    <row r="302" spans="1:29">
      <c r="A302" s="21">
        <v>291</v>
      </c>
      <c r="B302" s="1" t="s">
        <v>107</v>
      </c>
      <c r="C302" s="21" t="s">
        <v>571</v>
      </c>
      <c r="D302" s="21" t="s">
        <v>41</v>
      </c>
      <c r="E302" s="1" t="s">
        <v>596</v>
      </c>
      <c r="F302" s="46">
        <v>45804</v>
      </c>
      <c r="G302" s="46">
        <v>45809</v>
      </c>
      <c r="H302" s="21" t="s">
        <v>47</v>
      </c>
      <c r="I302" s="52">
        <v>252000</v>
      </c>
      <c r="S302" s="46">
        <v>45805</v>
      </c>
      <c r="AC302" s="18" t="s">
        <v>26</v>
      </c>
    </row>
    <row r="303" spans="1:29">
      <c r="A303" s="21">
        <v>292</v>
      </c>
      <c r="B303" s="1" t="s">
        <v>107</v>
      </c>
      <c r="C303" s="21" t="s">
        <v>572</v>
      </c>
      <c r="D303" s="21" t="s">
        <v>41</v>
      </c>
      <c r="E303" s="1" t="s">
        <v>597</v>
      </c>
      <c r="F303" s="46">
        <v>45804</v>
      </c>
      <c r="G303" s="46">
        <v>45809</v>
      </c>
      <c r="H303" s="21" t="s">
        <v>47</v>
      </c>
    </row>
    <row r="304" spans="1:29">
      <c r="A304" s="21">
        <v>293</v>
      </c>
      <c r="B304" s="1" t="s">
        <v>107</v>
      </c>
      <c r="C304" s="21" t="s">
        <v>573</v>
      </c>
      <c r="D304" s="21" t="s">
        <v>41</v>
      </c>
      <c r="E304" s="1" t="s">
        <v>598</v>
      </c>
      <c r="F304" s="46">
        <v>45804</v>
      </c>
      <c r="G304" s="46">
        <v>45809</v>
      </c>
      <c r="H304" s="21" t="s">
        <v>47</v>
      </c>
    </row>
    <row r="305" spans="1:29">
      <c r="A305" s="21">
        <v>294</v>
      </c>
      <c r="B305" s="1" t="s">
        <v>107</v>
      </c>
      <c r="C305" s="21" t="s">
        <v>574</v>
      </c>
      <c r="D305" s="21" t="s">
        <v>41</v>
      </c>
      <c r="E305" s="1" t="s">
        <v>599</v>
      </c>
      <c r="F305" s="46">
        <v>45804</v>
      </c>
      <c r="G305" s="46">
        <v>45809</v>
      </c>
      <c r="H305" s="21" t="s">
        <v>47</v>
      </c>
      <c r="I305" s="52">
        <v>59625</v>
      </c>
      <c r="J305" s="52">
        <v>25625</v>
      </c>
      <c r="K305" s="52">
        <v>26225</v>
      </c>
      <c r="S305" s="46">
        <v>45805</v>
      </c>
      <c r="T305" s="46">
        <v>45806</v>
      </c>
      <c r="U305" s="46">
        <v>45807</v>
      </c>
      <c r="AC305" s="18" t="s">
        <v>26</v>
      </c>
    </row>
    <row r="306" spans="1:29">
      <c r="A306" s="21">
        <v>295</v>
      </c>
      <c r="B306" s="1" t="s">
        <v>94</v>
      </c>
      <c r="C306" s="21" t="s">
        <v>583</v>
      </c>
      <c r="D306" s="21" t="s">
        <v>180</v>
      </c>
      <c r="E306" s="1" t="s">
        <v>584</v>
      </c>
      <c r="F306" s="46">
        <v>45804</v>
      </c>
      <c r="G306" s="46"/>
      <c r="H306" s="21" t="s">
        <v>47</v>
      </c>
      <c r="I306" s="52">
        <v>2882.5</v>
      </c>
      <c r="J306" s="52">
        <v>10867.5</v>
      </c>
      <c r="K306" s="52">
        <v>3805</v>
      </c>
      <c r="S306" s="46">
        <v>45806</v>
      </c>
      <c r="T306" s="46">
        <v>45806</v>
      </c>
      <c r="U306" s="46">
        <v>45806</v>
      </c>
      <c r="AC306" s="18" t="s">
        <v>26</v>
      </c>
    </row>
    <row r="307" spans="1:29">
      <c r="A307" s="21">
        <v>296</v>
      </c>
      <c r="B307" s="1" t="s">
        <v>291</v>
      </c>
      <c r="C307" s="21" t="s">
        <v>585</v>
      </c>
      <c r="D307" s="21" t="s">
        <v>180</v>
      </c>
      <c r="E307" s="1" t="s">
        <v>586</v>
      </c>
      <c r="F307" s="46">
        <v>45805</v>
      </c>
      <c r="G307" s="46"/>
      <c r="H307" s="21" t="s">
        <v>47</v>
      </c>
      <c r="I307" s="52">
        <v>2816</v>
      </c>
      <c r="J307" s="52">
        <v>7448.5599999999995</v>
      </c>
      <c r="K307" s="52">
        <v>2142.88</v>
      </c>
      <c r="S307" s="46">
        <v>45806</v>
      </c>
      <c r="T307" s="46">
        <v>45806</v>
      </c>
      <c r="U307" s="46">
        <v>45807</v>
      </c>
      <c r="AC307" s="18" t="s">
        <v>26</v>
      </c>
    </row>
    <row r="308" spans="1:29">
      <c r="A308" s="21">
        <v>297</v>
      </c>
      <c r="B308" s="1" t="s">
        <v>107</v>
      </c>
      <c r="C308" s="21" t="s">
        <v>575</v>
      </c>
      <c r="D308" s="21" t="s">
        <v>41</v>
      </c>
      <c r="E308" s="1" t="s">
        <v>600</v>
      </c>
      <c r="F308" s="46">
        <v>45805</v>
      </c>
      <c r="G308" s="46">
        <v>45811</v>
      </c>
      <c r="H308" s="21" t="s">
        <v>47</v>
      </c>
    </row>
    <row r="309" spans="1:29">
      <c r="A309" s="21">
        <v>298</v>
      </c>
      <c r="B309" s="1" t="s">
        <v>107</v>
      </c>
      <c r="C309" s="21" t="s">
        <v>576</v>
      </c>
      <c r="D309" s="21" t="s">
        <v>41</v>
      </c>
      <c r="E309" s="1" t="s">
        <v>601</v>
      </c>
      <c r="F309" s="46">
        <v>45805</v>
      </c>
      <c r="G309" s="46">
        <v>45811</v>
      </c>
      <c r="H309" s="21" t="s">
        <v>47</v>
      </c>
      <c r="I309" s="52">
        <v>156496</v>
      </c>
      <c r="S309" s="46">
        <v>45806</v>
      </c>
      <c r="AC309" s="18" t="s">
        <v>26</v>
      </c>
    </row>
    <row r="310" spans="1:29">
      <c r="A310" s="21">
        <v>299</v>
      </c>
      <c r="B310" s="1" t="s">
        <v>107</v>
      </c>
      <c r="C310" s="21" t="s">
        <v>577</v>
      </c>
      <c r="D310" s="21" t="s">
        <v>41</v>
      </c>
      <c r="E310" s="1" t="s">
        <v>602</v>
      </c>
      <c r="F310" s="46">
        <v>45805</v>
      </c>
      <c r="G310" s="46">
        <v>45811</v>
      </c>
      <c r="H310" s="21" t="s">
        <v>47</v>
      </c>
      <c r="I310" s="52">
        <v>2089.5</v>
      </c>
      <c r="J310" s="52">
        <v>1809</v>
      </c>
      <c r="K310" s="52">
        <v>19095.3</v>
      </c>
      <c r="L310" s="52">
        <v>16800</v>
      </c>
      <c r="M310" s="52">
        <v>33600</v>
      </c>
      <c r="N310" s="52">
        <v>2520</v>
      </c>
      <c r="S310" s="46">
        <v>45806</v>
      </c>
      <c r="T310" s="46">
        <v>45806</v>
      </c>
      <c r="U310" s="46">
        <v>45806</v>
      </c>
      <c r="V310" s="46">
        <v>45807</v>
      </c>
      <c r="W310" s="46">
        <v>45808</v>
      </c>
      <c r="X310" s="46">
        <v>45810</v>
      </c>
      <c r="AC310" s="18" t="s">
        <v>26</v>
      </c>
    </row>
    <row r="311" spans="1:29">
      <c r="A311" s="21">
        <v>300</v>
      </c>
      <c r="B311" s="1" t="s">
        <v>107</v>
      </c>
      <c r="C311" s="21" t="s">
        <v>578</v>
      </c>
      <c r="D311" s="21" t="s">
        <v>41</v>
      </c>
      <c r="E311" s="1" t="s">
        <v>603</v>
      </c>
      <c r="F311" s="46">
        <v>45805</v>
      </c>
      <c r="G311" s="46">
        <v>45811</v>
      </c>
      <c r="H311" s="21" t="s">
        <v>47</v>
      </c>
    </row>
    <row r="312" spans="1:29">
      <c r="A312" s="21">
        <v>301</v>
      </c>
      <c r="B312" s="1" t="s">
        <v>107</v>
      </c>
      <c r="C312" s="21" t="s">
        <v>579</v>
      </c>
      <c r="D312" s="21" t="s">
        <v>41</v>
      </c>
      <c r="E312" s="1" t="s">
        <v>604</v>
      </c>
      <c r="F312" s="46">
        <v>45805</v>
      </c>
      <c r="G312" s="46">
        <v>45811</v>
      </c>
      <c r="H312" s="21" t="s">
        <v>47</v>
      </c>
    </row>
    <row r="313" spans="1:29">
      <c r="A313" s="21">
        <v>302</v>
      </c>
      <c r="B313" s="1" t="s">
        <v>107</v>
      </c>
      <c r="C313" s="21" t="s">
        <v>580</v>
      </c>
      <c r="D313" s="21" t="s">
        <v>41</v>
      </c>
      <c r="E313" s="1" t="s">
        <v>605</v>
      </c>
      <c r="F313" s="46">
        <v>45805</v>
      </c>
      <c r="G313" s="46">
        <v>45811</v>
      </c>
      <c r="H313" s="21" t="s">
        <v>47</v>
      </c>
      <c r="I313" s="52">
        <v>7164.9</v>
      </c>
      <c r="S313" s="46">
        <v>45810</v>
      </c>
      <c r="AC313" s="18" t="s">
        <v>26</v>
      </c>
    </row>
    <row r="314" spans="1:29">
      <c r="A314" s="21">
        <v>303</v>
      </c>
      <c r="B314" s="1" t="s">
        <v>107</v>
      </c>
      <c r="C314" s="21" t="s">
        <v>581</v>
      </c>
      <c r="D314" s="21" t="s">
        <v>41</v>
      </c>
      <c r="E314" s="1" t="s">
        <v>606</v>
      </c>
      <c r="F314" s="46">
        <v>45805</v>
      </c>
      <c r="G314" s="46">
        <v>45811</v>
      </c>
      <c r="H314" s="21" t="s">
        <v>47</v>
      </c>
    </row>
    <row r="315" spans="1:29">
      <c r="A315" s="21">
        <v>304</v>
      </c>
      <c r="B315" s="1" t="s">
        <v>107</v>
      </c>
      <c r="C315" s="21" t="s">
        <v>582</v>
      </c>
      <c r="D315" s="21" t="s">
        <v>41</v>
      </c>
      <c r="E315" s="1" t="s">
        <v>607</v>
      </c>
      <c r="F315" s="46">
        <v>45805</v>
      </c>
      <c r="G315" s="46">
        <v>45811</v>
      </c>
      <c r="H315" s="21" t="s">
        <v>47</v>
      </c>
      <c r="I315" s="52">
        <v>666.75</v>
      </c>
      <c r="S315" s="46">
        <v>45807</v>
      </c>
      <c r="AC315" s="18" t="s">
        <v>26</v>
      </c>
    </row>
    <row r="316" spans="1:29">
      <c r="A316" s="21">
        <v>305</v>
      </c>
      <c r="C316" s="21" t="s">
        <v>610</v>
      </c>
      <c r="D316" s="21" t="s">
        <v>65</v>
      </c>
      <c r="E316" s="1" t="s">
        <v>611</v>
      </c>
      <c r="F316" s="46">
        <v>45807</v>
      </c>
      <c r="H316" s="21" t="s">
        <v>47</v>
      </c>
      <c r="I316" s="52">
        <v>23362.5</v>
      </c>
      <c r="J316" s="52">
        <v>44205</v>
      </c>
      <c r="K316" s="52">
        <v>34650</v>
      </c>
      <c r="L316" s="52">
        <v>43779.49</v>
      </c>
      <c r="M316" s="52">
        <v>33285</v>
      </c>
      <c r="S316" s="46">
        <v>45807</v>
      </c>
      <c r="T316" s="46">
        <v>45807</v>
      </c>
      <c r="U316" s="46">
        <v>45808</v>
      </c>
      <c r="V316" s="46">
        <v>45807</v>
      </c>
      <c r="W316" s="46">
        <v>45813</v>
      </c>
      <c r="AC316" s="18" t="s">
        <v>26</v>
      </c>
    </row>
    <row r="317" spans="1:29">
      <c r="A317" s="21">
        <v>306</v>
      </c>
      <c r="C317" s="21" t="s">
        <v>613</v>
      </c>
      <c r="D317" s="21" t="s">
        <v>65</v>
      </c>
      <c r="E317" s="1" t="s">
        <v>612</v>
      </c>
      <c r="F317" s="46">
        <v>45807</v>
      </c>
      <c r="H317" s="21" t="s">
        <v>47</v>
      </c>
      <c r="I317" s="52">
        <v>12957</v>
      </c>
      <c r="S317" s="46">
        <v>45808</v>
      </c>
      <c r="AC317" s="18" t="s">
        <v>26</v>
      </c>
    </row>
    <row r="318" spans="1:29">
      <c r="A318" s="21">
        <v>307</v>
      </c>
      <c r="C318" s="21" t="s">
        <v>614</v>
      </c>
      <c r="D318" s="21" t="s">
        <v>65</v>
      </c>
      <c r="E318" s="1" t="s">
        <v>615</v>
      </c>
      <c r="F318" s="46">
        <v>45807</v>
      </c>
      <c r="H318" s="21" t="s">
        <v>47</v>
      </c>
      <c r="I318" s="52">
        <v>52867.5</v>
      </c>
      <c r="J318" s="52">
        <v>30550</v>
      </c>
      <c r="S318" s="46">
        <v>45810</v>
      </c>
      <c r="T318" s="46">
        <v>45817</v>
      </c>
      <c r="AC318" s="18" t="s">
        <v>26</v>
      </c>
    </row>
    <row r="319" spans="1:29">
      <c r="A319" s="21">
        <v>308</v>
      </c>
      <c r="B319" s="1" t="s">
        <v>291</v>
      </c>
      <c r="C319" s="21" t="s">
        <v>608</v>
      </c>
      <c r="D319" s="21" t="s">
        <v>180</v>
      </c>
      <c r="E319" s="1" t="s">
        <v>609</v>
      </c>
      <c r="F319" s="46">
        <v>45807</v>
      </c>
      <c r="H319" s="21" t="s">
        <v>47</v>
      </c>
      <c r="I319" s="52">
        <v>156</v>
      </c>
      <c r="J319" s="52">
        <v>138</v>
      </c>
      <c r="K319" s="52">
        <v>25265.63</v>
      </c>
      <c r="S319" s="46">
        <v>45807</v>
      </c>
      <c r="T319" s="46">
        <v>45807</v>
      </c>
      <c r="U319" s="46">
        <v>45810</v>
      </c>
      <c r="AC319" s="18" t="s">
        <v>26</v>
      </c>
    </row>
    <row r="320" spans="1:29">
      <c r="A320" s="21">
        <v>309</v>
      </c>
      <c r="B320" s="1" t="s">
        <v>95</v>
      </c>
      <c r="C320" s="21" t="s">
        <v>616</v>
      </c>
      <c r="D320" s="21" t="s">
        <v>180</v>
      </c>
      <c r="E320" s="1" t="s">
        <v>617</v>
      </c>
      <c r="F320" s="46">
        <v>45807</v>
      </c>
      <c r="H320" s="21" t="s">
        <v>47</v>
      </c>
    </row>
    <row r="321" spans="1:29">
      <c r="A321" s="21">
        <v>310</v>
      </c>
      <c r="B321" s="1" t="s">
        <v>95</v>
      </c>
      <c r="C321" s="21" t="s">
        <v>618</v>
      </c>
      <c r="D321" s="21" t="s">
        <v>180</v>
      </c>
      <c r="E321" s="1" t="s">
        <v>619</v>
      </c>
      <c r="F321" s="46">
        <v>45807</v>
      </c>
      <c r="H321" s="21" t="s">
        <v>47</v>
      </c>
      <c r="I321" s="52">
        <v>10530</v>
      </c>
      <c r="S321" s="46">
        <v>45810</v>
      </c>
      <c r="AC321" s="18" t="s">
        <v>26</v>
      </c>
    </row>
    <row r="322" spans="1:29">
      <c r="A322" s="21">
        <v>311</v>
      </c>
      <c r="B322" s="1" t="s">
        <v>621</v>
      </c>
      <c r="C322" s="21" t="s">
        <v>620</v>
      </c>
      <c r="D322" s="21" t="s">
        <v>41</v>
      </c>
      <c r="F322" s="46">
        <v>45810</v>
      </c>
      <c r="G322" s="46">
        <v>45811</v>
      </c>
      <c r="H322" s="21" t="s">
        <v>47</v>
      </c>
    </row>
    <row r="323" spans="1:29" ht="30">
      <c r="A323" s="21">
        <v>312</v>
      </c>
      <c r="B323" s="1" t="s">
        <v>94</v>
      </c>
      <c r="C323" s="21" t="s">
        <v>623</v>
      </c>
      <c r="D323" s="21" t="s">
        <v>180</v>
      </c>
      <c r="E323" s="64" t="s">
        <v>622</v>
      </c>
      <c r="F323" s="46">
        <v>45810</v>
      </c>
      <c r="H323" s="21" t="s">
        <v>47</v>
      </c>
      <c r="I323" s="52">
        <v>81840</v>
      </c>
      <c r="J323" s="52">
        <v>1500</v>
      </c>
      <c r="K323" s="52">
        <v>214.4</v>
      </c>
      <c r="L323" s="52">
        <v>720</v>
      </c>
      <c r="M323" s="52">
        <v>680</v>
      </c>
      <c r="N323" s="52">
        <v>85860</v>
      </c>
      <c r="S323" s="46">
        <v>45810</v>
      </c>
      <c r="T323" s="46">
        <v>45810</v>
      </c>
      <c r="U323" s="46">
        <v>45810</v>
      </c>
      <c r="V323" s="46">
        <v>45810</v>
      </c>
      <c r="W323" s="46">
        <v>45811</v>
      </c>
      <c r="X323" s="46">
        <v>45817</v>
      </c>
      <c r="AC323" s="18" t="s">
        <v>26</v>
      </c>
    </row>
    <row r="324" spans="1:29">
      <c r="A324" s="21">
        <v>313</v>
      </c>
      <c r="B324" s="1" t="s">
        <v>107</v>
      </c>
      <c r="C324" s="21" t="s">
        <v>626</v>
      </c>
      <c r="D324" s="21" t="s">
        <v>41</v>
      </c>
      <c r="E324" s="64" t="s">
        <v>637</v>
      </c>
      <c r="F324" s="46">
        <v>45810</v>
      </c>
      <c r="G324" s="46">
        <v>45816</v>
      </c>
      <c r="H324" s="21" t="s">
        <v>47</v>
      </c>
    </row>
    <row r="325" spans="1:29">
      <c r="A325" s="21">
        <v>314</v>
      </c>
      <c r="B325" s="1" t="s">
        <v>107</v>
      </c>
      <c r="C325" s="21" t="s">
        <v>627</v>
      </c>
      <c r="D325" s="21" t="s">
        <v>41</v>
      </c>
      <c r="E325" s="64" t="s">
        <v>638</v>
      </c>
      <c r="F325" s="46">
        <v>45810</v>
      </c>
      <c r="G325" s="46">
        <v>45816</v>
      </c>
      <c r="H325" s="21" t="s">
        <v>47</v>
      </c>
    </row>
    <row r="326" spans="1:29">
      <c r="A326" s="21">
        <v>315</v>
      </c>
      <c r="B326" s="1" t="s">
        <v>107</v>
      </c>
      <c r="C326" s="21" t="s">
        <v>628</v>
      </c>
      <c r="D326" s="21" t="s">
        <v>41</v>
      </c>
      <c r="E326" s="64" t="s">
        <v>639</v>
      </c>
      <c r="F326" s="46">
        <v>45810</v>
      </c>
      <c r="G326" s="46">
        <v>45816</v>
      </c>
      <c r="H326" s="21" t="s">
        <v>47</v>
      </c>
    </row>
    <row r="327" spans="1:29">
      <c r="A327" s="21">
        <v>316</v>
      </c>
      <c r="B327" s="1" t="s">
        <v>107</v>
      </c>
      <c r="C327" s="21" t="s">
        <v>629</v>
      </c>
      <c r="D327" s="21" t="s">
        <v>41</v>
      </c>
      <c r="E327" s="64" t="s">
        <v>640</v>
      </c>
      <c r="F327" s="46">
        <v>45810</v>
      </c>
      <c r="G327" s="46">
        <v>45816</v>
      </c>
      <c r="H327" s="21" t="s">
        <v>47</v>
      </c>
    </row>
    <row r="328" spans="1:29" ht="30">
      <c r="A328" s="21">
        <v>317</v>
      </c>
      <c r="B328" s="1" t="s">
        <v>107</v>
      </c>
      <c r="C328" s="21" t="s">
        <v>630</v>
      </c>
      <c r="D328" s="21" t="s">
        <v>41</v>
      </c>
      <c r="E328" s="64" t="s">
        <v>641</v>
      </c>
      <c r="F328" s="46">
        <v>45810</v>
      </c>
      <c r="G328" s="46">
        <v>45816</v>
      </c>
      <c r="H328" s="21" t="s">
        <v>47</v>
      </c>
    </row>
    <row r="329" spans="1:29">
      <c r="A329" s="21">
        <v>318</v>
      </c>
      <c r="B329" s="1" t="s">
        <v>107</v>
      </c>
      <c r="C329" s="21" t="s">
        <v>631</v>
      </c>
      <c r="D329" s="21" t="s">
        <v>41</v>
      </c>
      <c r="E329" s="64" t="s">
        <v>642</v>
      </c>
      <c r="F329" s="46">
        <v>45810</v>
      </c>
      <c r="G329" s="46">
        <v>45816</v>
      </c>
      <c r="H329" s="21" t="s">
        <v>47</v>
      </c>
    </row>
    <row r="330" spans="1:29">
      <c r="A330" s="21">
        <v>319</v>
      </c>
      <c r="B330" s="1" t="s">
        <v>91</v>
      </c>
      <c r="C330" s="21" t="s">
        <v>624</v>
      </c>
      <c r="D330" s="21" t="s">
        <v>180</v>
      </c>
      <c r="E330" s="1" t="s">
        <v>625</v>
      </c>
      <c r="F330" s="46">
        <v>45812</v>
      </c>
      <c r="H330" s="21" t="s">
        <v>47</v>
      </c>
      <c r="I330" s="52">
        <v>29791.32</v>
      </c>
      <c r="S330" s="46">
        <v>45818</v>
      </c>
      <c r="AC330" s="18" t="s">
        <v>26</v>
      </c>
    </row>
    <row r="331" spans="1:29">
      <c r="A331" s="21">
        <v>320</v>
      </c>
      <c r="B331" s="1" t="s">
        <v>107</v>
      </c>
      <c r="C331" s="21" t="s">
        <v>632</v>
      </c>
      <c r="D331" s="21" t="s">
        <v>41</v>
      </c>
      <c r="E331" s="1" t="s">
        <v>643</v>
      </c>
      <c r="F331" s="46">
        <v>45812</v>
      </c>
      <c r="G331" s="46">
        <v>45820</v>
      </c>
      <c r="H331" s="21" t="s">
        <v>47</v>
      </c>
      <c r="I331" s="52">
        <v>36000</v>
      </c>
      <c r="S331" s="46">
        <v>45813</v>
      </c>
      <c r="AC331" s="18" t="s">
        <v>26</v>
      </c>
    </row>
    <row r="332" spans="1:29">
      <c r="A332" s="21">
        <v>321</v>
      </c>
      <c r="B332" s="1" t="s">
        <v>107</v>
      </c>
      <c r="C332" s="21" t="s">
        <v>633</v>
      </c>
      <c r="D332" s="21" t="s">
        <v>41</v>
      </c>
      <c r="E332" s="1" t="s">
        <v>644</v>
      </c>
      <c r="F332" s="46">
        <v>45812</v>
      </c>
      <c r="G332" s="46">
        <v>45820</v>
      </c>
      <c r="H332" s="21" t="s">
        <v>47</v>
      </c>
    </row>
    <row r="333" spans="1:29">
      <c r="A333" s="21">
        <v>322</v>
      </c>
      <c r="B333" s="1" t="s">
        <v>107</v>
      </c>
      <c r="C333" s="21" t="s">
        <v>636</v>
      </c>
      <c r="D333" s="21" t="s">
        <v>41</v>
      </c>
      <c r="E333" s="1" t="s">
        <v>645</v>
      </c>
      <c r="F333" s="46">
        <v>45812</v>
      </c>
      <c r="G333" s="46">
        <v>45820</v>
      </c>
      <c r="H333" s="21" t="s">
        <v>47</v>
      </c>
    </row>
    <row r="334" spans="1:29">
      <c r="A334" s="21">
        <v>323</v>
      </c>
      <c r="B334" s="1" t="s">
        <v>107</v>
      </c>
      <c r="C334" s="21" t="s">
        <v>634</v>
      </c>
      <c r="D334" s="21" t="s">
        <v>41</v>
      </c>
      <c r="E334" s="1" t="s">
        <v>646</v>
      </c>
      <c r="F334" s="46">
        <v>45812</v>
      </c>
      <c r="G334" s="46">
        <v>45820</v>
      </c>
      <c r="H334" s="21" t="s">
        <v>47</v>
      </c>
      <c r="I334" s="52">
        <v>4350</v>
      </c>
      <c r="J334" s="52">
        <v>6152.61</v>
      </c>
      <c r="K334" s="52">
        <v>4497</v>
      </c>
      <c r="S334" s="46">
        <v>45813</v>
      </c>
      <c r="T334" s="46">
        <v>45813</v>
      </c>
      <c r="U334" s="46">
        <v>45817</v>
      </c>
      <c r="AC334" s="18" t="s">
        <v>26</v>
      </c>
    </row>
    <row r="335" spans="1:29">
      <c r="A335" s="21">
        <v>324</v>
      </c>
      <c r="B335" s="1" t="s">
        <v>107</v>
      </c>
      <c r="C335" s="21" t="s">
        <v>635</v>
      </c>
      <c r="D335" s="21" t="s">
        <v>41</v>
      </c>
      <c r="E335" s="1" t="s">
        <v>598</v>
      </c>
      <c r="F335" s="46">
        <v>45812</v>
      </c>
      <c r="G335" s="46">
        <v>45820</v>
      </c>
      <c r="H335" s="21" t="s">
        <v>47</v>
      </c>
    </row>
    <row r="336" spans="1:29">
      <c r="A336" s="21">
        <v>325</v>
      </c>
      <c r="B336" s="1" t="s">
        <v>28</v>
      </c>
      <c r="C336" s="21">
        <v>6000113347</v>
      </c>
      <c r="D336" s="21" t="s">
        <v>41</v>
      </c>
      <c r="E336" s="1" t="s">
        <v>647</v>
      </c>
      <c r="F336" s="46">
        <v>45807</v>
      </c>
      <c r="G336" s="46">
        <v>45818</v>
      </c>
      <c r="H336" s="21" t="s">
        <v>47</v>
      </c>
    </row>
    <row r="337" spans="1:29">
      <c r="A337" s="21">
        <v>326</v>
      </c>
      <c r="B337" s="1" t="s">
        <v>291</v>
      </c>
      <c r="C337" s="21" t="s">
        <v>648</v>
      </c>
      <c r="D337" s="21" t="s">
        <v>180</v>
      </c>
      <c r="E337" s="1" t="s">
        <v>649</v>
      </c>
      <c r="F337" s="46">
        <v>45818</v>
      </c>
      <c r="H337" s="21" t="s">
        <v>47</v>
      </c>
    </row>
    <row r="338" spans="1:29">
      <c r="A338" s="21">
        <v>327</v>
      </c>
      <c r="B338" s="1" t="s">
        <v>91</v>
      </c>
      <c r="C338" s="66" t="s">
        <v>650</v>
      </c>
      <c r="D338" s="21" t="s">
        <v>180</v>
      </c>
      <c r="E338" s="1" t="s">
        <v>651</v>
      </c>
      <c r="F338" s="46">
        <v>45818</v>
      </c>
      <c r="H338" s="21" t="s">
        <v>47</v>
      </c>
    </row>
    <row r="339" spans="1:29">
      <c r="A339" s="21">
        <v>328</v>
      </c>
      <c r="B339" s="1" t="s">
        <v>652</v>
      </c>
      <c r="C339" s="21" t="s">
        <v>653</v>
      </c>
      <c r="D339" s="21" t="s">
        <v>180</v>
      </c>
      <c r="E339" s="64" t="s">
        <v>654</v>
      </c>
      <c r="F339" s="46">
        <v>45819</v>
      </c>
      <c r="H339" s="21" t="s">
        <v>47</v>
      </c>
      <c r="I339" s="52">
        <v>510</v>
      </c>
      <c r="J339" s="52">
        <v>1200</v>
      </c>
      <c r="K339" s="52">
        <v>6378.75</v>
      </c>
      <c r="S339" s="46">
        <v>45819</v>
      </c>
      <c r="T339" s="46">
        <v>45819</v>
      </c>
      <c r="U339" s="46">
        <v>45820</v>
      </c>
      <c r="AC339" s="18" t="s">
        <v>26</v>
      </c>
    </row>
    <row r="340" spans="1:29">
      <c r="A340" s="21">
        <v>329</v>
      </c>
      <c r="B340" s="1" t="s">
        <v>291</v>
      </c>
      <c r="C340" s="21" t="s">
        <v>655</v>
      </c>
      <c r="D340" s="21" t="s">
        <v>180</v>
      </c>
      <c r="E340" s="1" t="s">
        <v>656</v>
      </c>
      <c r="F340" s="46">
        <v>45819</v>
      </c>
      <c r="H340" s="21" t="s">
        <v>47</v>
      </c>
      <c r="I340" s="52">
        <v>7900</v>
      </c>
      <c r="S340" s="46">
        <v>45820</v>
      </c>
      <c r="AC340" s="18" t="s">
        <v>26</v>
      </c>
    </row>
    <row r="341" spans="1:29">
      <c r="A341" s="21">
        <v>330</v>
      </c>
      <c r="B341" s="1" t="s">
        <v>91</v>
      </c>
      <c r="C341" s="21" t="s">
        <v>657</v>
      </c>
      <c r="D341" s="21" t="s">
        <v>180</v>
      </c>
      <c r="E341" s="1" t="s">
        <v>658</v>
      </c>
      <c r="F341" s="46">
        <v>45819</v>
      </c>
      <c r="H341" s="21" t="s">
        <v>47</v>
      </c>
      <c r="I341" s="52">
        <v>90296.47</v>
      </c>
      <c r="J341" s="52">
        <v>114269.84</v>
      </c>
      <c r="S341" s="46">
        <v>45820</v>
      </c>
      <c r="T341" s="46">
        <v>45822</v>
      </c>
      <c r="AC341" s="18" t="s">
        <v>26</v>
      </c>
    </row>
    <row r="342" spans="1:29">
      <c r="A342" s="21">
        <v>331</v>
      </c>
      <c r="B342" s="1" t="s">
        <v>28</v>
      </c>
      <c r="C342" s="21">
        <v>6000113420</v>
      </c>
      <c r="D342" s="21" t="s">
        <v>41</v>
      </c>
      <c r="E342" s="1" t="s">
        <v>659</v>
      </c>
      <c r="F342" s="46">
        <v>45820</v>
      </c>
      <c r="G342" s="46">
        <v>45824</v>
      </c>
      <c r="H342" s="21" t="s">
        <v>47</v>
      </c>
      <c r="I342" s="52">
        <v>55260</v>
      </c>
      <c r="S342" s="46">
        <v>45822</v>
      </c>
      <c r="AC342" s="18" t="s">
        <v>26</v>
      </c>
    </row>
    <row r="343" spans="1:29">
      <c r="A343" s="21">
        <v>332</v>
      </c>
      <c r="B343" s="1" t="s">
        <v>28</v>
      </c>
      <c r="C343" s="21">
        <v>6000113028</v>
      </c>
      <c r="D343" s="21" t="s">
        <v>41</v>
      </c>
      <c r="E343" s="1" t="s">
        <v>660</v>
      </c>
      <c r="F343" s="46">
        <v>45820</v>
      </c>
      <c r="G343" s="46">
        <v>45824</v>
      </c>
      <c r="H343" s="21" t="s">
        <v>47</v>
      </c>
      <c r="I343" s="52">
        <v>35505</v>
      </c>
      <c r="S343" s="46">
        <v>45820</v>
      </c>
      <c r="AC343" s="18" t="s">
        <v>26</v>
      </c>
    </row>
    <row r="344" spans="1:29">
      <c r="A344" s="21">
        <v>333</v>
      </c>
      <c r="B344" s="1" t="s">
        <v>28</v>
      </c>
      <c r="C344" s="21">
        <v>6000113649</v>
      </c>
      <c r="D344" s="21" t="s">
        <v>41</v>
      </c>
      <c r="E344" s="1" t="s">
        <v>661</v>
      </c>
      <c r="F344" s="46">
        <v>45820</v>
      </c>
      <c r="G344" s="46">
        <v>45824</v>
      </c>
      <c r="H344" s="21" t="s">
        <v>47</v>
      </c>
      <c r="I344" s="52">
        <v>8463.4500000000007</v>
      </c>
      <c r="J344" s="52">
        <v>4198.2</v>
      </c>
      <c r="K344" s="52">
        <v>4316</v>
      </c>
      <c r="L344" s="52">
        <v>2800</v>
      </c>
      <c r="M344" s="52">
        <v>2100</v>
      </c>
      <c r="S344" s="46">
        <v>45821</v>
      </c>
      <c r="T344" s="46">
        <v>45821</v>
      </c>
      <c r="U344" s="46">
        <v>45822</v>
      </c>
      <c r="V344" s="46">
        <v>45824</v>
      </c>
      <c r="W344" s="46">
        <v>45824</v>
      </c>
      <c r="AC344" s="18" t="s">
        <v>26</v>
      </c>
    </row>
    <row r="345" spans="1:29">
      <c r="A345" s="21">
        <v>334</v>
      </c>
      <c r="B345" s="1" t="s">
        <v>28</v>
      </c>
      <c r="C345" s="21">
        <v>6000114401</v>
      </c>
      <c r="D345" s="21" t="s">
        <v>41</v>
      </c>
      <c r="E345" s="1" t="s">
        <v>662</v>
      </c>
      <c r="F345" s="46">
        <v>45820</v>
      </c>
      <c r="G345" s="46">
        <v>45825</v>
      </c>
      <c r="H345" s="21" t="s">
        <v>47</v>
      </c>
    </row>
    <row r="346" spans="1:29" ht="30">
      <c r="A346" s="21">
        <v>335</v>
      </c>
      <c r="B346" s="1" t="s">
        <v>28</v>
      </c>
      <c r="C346" s="21">
        <v>6000114189</v>
      </c>
      <c r="D346" s="21" t="s">
        <v>41</v>
      </c>
      <c r="E346" s="64" t="s">
        <v>663</v>
      </c>
      <c r="F346" s="46">
        <v>45820</v>
      </c>
      <c r="G346" s="46">
        <v>45825</v>
      </c>
      <c r="H346" s="21" t="s">
        <v>47</v>
      </c>
    </row>
    <row r="347" spans="1:29">
      <c r="A347" s="21">
        <v>336</v>
      </c>
      <c r="B347" s="1" t="s">
        <v>28</v>
      </c>
      <c r="C347" s="21">
        <v>6000114786</v>
      </c>
      <c r="D347" s="21" t="s">
        <v>41</v>
      </c>
      <c r="E347" s="1" t="s">
        <v>664</v>
      </c>
      <c r="F347" s="46">
        <v>45820</v>
      </c>
      <c r="G347" s="46">
        <v>45828</v>
      </c>
      <c r="H347" s="21" t="s">
        <v>47</v>
      </c>
      <c r="I347" s="52">
        <v>4335.6000000000004</v>
      </c>
      <c r="S347" s="46">
        <v>45821</v>
      </c>
      <c r="AC347" s="18" t="s">
        <v>26</v>
      </c>
    </row>
    <row r="348" spans="1:29" ht="30">
      <c r="A348" s="21">
        <v>337</v>
      </c>
      <c r="B348" s="1" t="s">
        <v>28</v>
      </c>
      <c r="C348" s="21">
        <v>6000114644</v>
      </c>
      <c r="D348" s="21" t="s">
        <v>41</v>
      </c>
      <c r="E348" s="64" t="s">
        <v>665</v>
      </c>
      <c r="F348" s="46">
        <v>45820</v>
      </c>
      <c r="G348" s="46">
        <v>45833</v>
      </c>
      <c r="H348" s="21" t="s">
        <v>47</v>
      </c>
      <c r="I348" s="52">
        <v>21542.880000000001</v>
      </c>
      <c r="S348" s="46">
        <v>45821</v>
      </c>
      <c r="AC348" s="18" t="s">
        <v>26</v>
      </c>
    </row>
    <row r="349" spans="1:29">
      <c r="A349" s="21">
        <v>338</v>
      </c>
      <c r="B349" s="1" t="s">
        <v>291</v>
      </c>
      <c r="C349" s="21" t="s">
        <v>666</v>
      </c>
      <c r="D349" s="21" t="s">
        <v>180</v>
      </c>
      <c r="E349" s="1" t="s">
        <v>667</v>
      </c>
      <c r="F349" s="46">
        <v>45820</v>
      </c>
      <c r="H349" s="21" t="s">
        <v>47</v>
      </c>
    </row>
    <row r="350" spans="1:29">
      <c r="A350" s="21">
        <v>339</v>
      </c>
      <c r="B350" s="1" t="s">
        <v>416</v>
      </c>
      <c r="C350" s="21" t="s">
        <v>668</v>
      </c>
      <c r="D350" s="21" t="s">
        <v>180</v>
      </c>
      <c r="E350" s="1" t="s">
        <v>669</v>
      </c>
      <c r="F350" s="46">
        <v>45820</v>
      </c>
      <c r="H350" s="21" t="s">
        <v>47</v>
      </c>
    </row>
    <row r="351" spans="1:29">
      <c r="A351" s="21">
        <v>340</v>
      </c>
      <c r="C351" s="21" t="s">
        <v>670</v>
      </c>
      <c r="D351" s="21" t="s">
        <v>180</v>
      </c>
      <c r="E351" s="1" t="s">
        <v>671</v>
      </c>
      <c r="F351" s="46">
        <v>45824</v>
      </c>
      <c r="H351" s="21" t="s">
        <v>47</v>
      </c>
      <c r="I351" s="52">
        <v>880</v>
      </c>
      <c r="S351" s="46">
        <v>45824</v>
      </c>
      <c r="AC351" s="18" t="s">
        <v>26</v>
      </c>
    </row>
    <row r="352" spans="1:29">
      <c r="A352" s="21">
        <v>341</v>
      </c>
      <c r="C352" s="21" t="s">
        <v>672</v>
      </c>
      <c r="D352" s="21" t="s">
        <v>180</v>
      </c>
      <c r="E352" s="1" t="s">
        <v>673</v>
      </c>
      <c r="F352" s="46">
        <v>45824</v>
      </c>
      <c r="H352" s="21" t="s">
        <v>47</v>
      </c>
    </row>
    <row r="353" spans="1:29">
      <c r="A353" s="21">
        <v>342</v>
      </c>
      <c r="B353" s="1" t="s">
        <v>291</v>
      </c>
      <c r="C353" s="21" t="s">
        <v>674</v>
      </c>
      <c r="D353" s="21" t="s">
        <v>180</v>
      </c>
      <c r="E353" s="1" t="s">
        <v>675</v>
      </c>
      <c r="F353" s="46">
        <v>45824</v>
      </c>
      <c r="H353" s="21" t="s">
        <v>47</v>
      </c>
      <c r="I353" s="52">
        <v>1170</v>
      </c>
      <c r="S353" s="46">
        <v>45825</v>
      </c>
      <c r="AC353" s="18" t="s">
        <v>26</v>
      </c>
    </row>
    <row r="354" spans="1:29">
      <c r="A354" s="21">
        <v>343</v>
      </c>
      <c r="B354" s="1" t="s">
        <v>291</v>
      </c>
      <c r="C354" s="21" t="s">
        <v>676</v>
      </c>
      <c r="D354" s="21" t="s">
        <v>180</v>
      </c>
      <c r="E354" s="1" t="s">
        <v>677</v>
      </c>
      <c r="F354" s="46">
        <v>45825</v>
      </c>
      <c r="H354" s="21" t="s">
        <v>47</v>
      </c>
    </row>
    <row r="355" spans="1:29">
      <c r="A355" s="21">
        <v>344</v>
      </c>
      <c r="B355" s="1" t="s">
        <v>91</v>
      </c>
      <c r="C355" s="21" t="s">
        <v>678</v>
      </c>
      <c r="D355" s="21" t="s">
        <v>180</v>
      </c>
      <c r="E355" s="1" t="s">
        <v>679</v>
      </c>
      <c r="F355" s="46">
        <v>45825</v>
      </c>
      <c r="H355" s="21" t="s">
        <v>47</v>
      </c>
    </row>
    <row r="356" spans="1:29">
      <c r="A356" s="21">
        <v>345</v>
      </c>
      <c r="B356" s="1" t="s">
        <v>88</v>
      </c>
      <c r="C356" s="66">
        <v>2012503003</v>
      </c>
      <c r="D356" s="21" t="s">
        <v>41</v>
      </c>
      <c r="E356" s="1" t="s">
        <v>680</v>
      </c>
      <c r="F356" s="46">
        <v>45825</v>
      </c>
      <c r="G356" s="46">
        <v>45828</v>
      </c>
      <c r="H356" s="21" t="s">
        <v>47</v>
      </c>
    </row>
    <row r="357" spans="1:29">
      <c r="A357" s="21">
        <v>346</v>
      </c>
      <c r="B357" s="1" t="s">
        <v>88</v>
      </c>
      <c r="C357" s="21">
        <v>2012503006</v>
      </c>
      <c r="D357" s="21" t="s">
        <v>41</v>
      </c>
      <c r="E357" s="1" t="s">
        <v>681</v>
      </c>
      <c r="F357" s="46">
        <v>45825</v>
      </c>
      <c r="G357" s="46">
        <v>45828</v>
      </c>
      <c r="H357" s="21" t="s">
        <v>47</v>
      </c>
    </row>
    <row r="358" spans="1:29">
      <c r="A358" s="21">
        <v>347</v>
      </c>
      <c r="B358" s="1" t="s">
        <v>88</v>
      </c>
      <c r="C358" s="21">
        <v>2012503009</v>
      </c>
      <c r="D358" s="21" t="s">
        <v>41</v>
      </c>
      <c r="E358" s="1" t="s">
        <v>682</v>
      </c>
      <c r="F358" s="46">
        <v>45825</v>
      </c>
      <c r="G358" s="46">
        <v>45828</v>
      </c>
      <c r="H358" s="21" t="s">
        <v>47</v>
      </c>
      <c r="I358" s="52">
        <v>5655.65</v>
      </c>
      <c r="S358" s="46">
        <v>45827</v>
      </c>
      <c r="T358" s="46"/>
      <c r="AC358" s="18" t="s">
        <v>26</v>
      </c>
    </row>
    <row r="359" spans="1:29">
      <c r="A359" s="21">
        <v>348</v>
      </c>
      <c r="B359" s="1" t="s">
        <v>88</v>
      </c>
      <c r="C359" s="21">
        <v>2012503022</v>
      </c>
      <c r="D359" s="21" t="s">
        <v>41</v>
      </c>
      <c r="E359" s="1" t="s">
        <v>683</v>
      </c>
      <c r="F359" s="46">
        <v>45825</v>
      </c>
      <c r="G359" s="46">
        <v>45828</v>
      </c>
      <c r="H359" s="21" t="s">
        <v>47</v>
      </c>
      <c r="I359" s="52">
        <v>5071.5</v>
      </c>
      <c r="S359" s="46">
        <v>45826</v>
      </c>
      <c r="AC359" s="18" t="s">
        <v>26</v>
      </c>
    </row>
    <row r="360" spans="1:29">
      <c r="A360" s="21">
        <v>349</v>
      </c>
      <c r="B360" s="1" t="s">
        <v>88</v>
      </c>
      <c r="C360" s="66">
        <v>2012503025</v>
      </c>
      <c r="D360" s="21" t="s">
        <v>41</v>
      </c>
      <c r="E360" s="1" t="s">
        <v>684</v>
      </c>
      <c r="F360" s="46">
        <v>45825</v>
      </c>
      <c r="G360" s="46">
        <v>45828</v>
      </c>
      <c r="H360" s="21" t="s">
        <v>47</v>
      </c>
    </row>
    <row r="361" spans="1:29">
      <c r="A361" s="21">
        <v>350</v>
      </c>
      <c r="B361" s="1" t="s">
        <v>88</v>
      </c>
      <c r="C361" s="21">
        <v>2012503028</v>
      </c>
      <c r="D361" s="21" t="s">
        <v>41</v>
      </c>
      <c r="E361" s="1" t="s">
        <v>685</v>
      </c>
      <c r="F361" s="46">
        <v>45825</v>
      </c>
      <c r="G361" s="46">
        <v>45828</v>
      </c>
      <c r="H361" s="21" t="s">
        <v>47</v>
      </c>
    </row>
    <row r="362" spans="1:29">
      <c r="A362" s="21">
        <v>351</v>
      </c>
      <c r="B362" s="1" t="s">
        <v>88</v>
      </c>
      <c r="C362" s="21">
        <v>2012502991</v>
      </c>
      <c r="D362" s="21" t="s">
        <v>41</v>
      </c>
      <c r="E362" s="1" t="s">
        <v>686</v>
      </c>
      <c r="F362" s="46">
        <v>45825</v>
      </c>
      <c r="G362" s="46">
        <v>45828</v>
      </c>
      <c r="H362" s="21" t="s">
        <v>47</v>
      </c>
      <c r="I362" s="52">
        <v>48075</v>
      </c>
      <c r="J362" s="52">
        <v>46950</v>
      </c>
      <c r="K362" s="52">
        <v>26460</v>
      </c>
      <c r="S362" s="46">
        <v>45825</v>
      </c>
      <c r="T362" s="46">
        <v>45825</v>
      </c>
      <c r="U362" s="46">
        <v>45825</v>
      </c>
      <c r="AC362" s="18" t="s">
        <v>26</v>
      </c>
    </row>
    <row r="363" spans="1:29">
      <c r="A363" s="21">
        <v>352</v>
      </c>
      <c r="B363" s="1" t="s">
        <v>88</v>
      </c>
      <c r="C363" s="21">
        <v>2012503013</v>
      </c>
      <c r="D363" s="21" t="s">
        <v>41</v>
      </c>
      <c r="E363" s="1" t="s">
        <v>687</v>
      </c>
      <c r="F363" s="46">
        <v>45825</v>
      </c>
      <c r="G363" s="46">
        <v>45828</v>
      </c>
      <c r="H363" s="21" t="s">
        <v>47</v>
      </c>
      <c r="I363" s="52">
        <v>2350</v>
      </c>
      <c r="S363" s="46">
        <v>45826</v>
      </c>
      <c r="AC363" s="18" t="s">
        <v>26</v>
      </c>
    </row>
    <row r="364" spans="1:29">
      <c r="A364" s="21">
        <v>353</v>
      </c>
      <c r="B364" s="1" t="s">
        <v>88</v>
      </c>
      <c r="C364" s="21">
        <v>2012503016</v>
      </c>
      <c r="D364" s="21" t="s">
        <v>41</v>
      </c>
      <c r="E364" s="1" t="s">
        <v>688</v>
      </c>
      <c r="F364" s="46">
        <v>45825</v>
      </c>
      <c r="G364" s="46">
        <v>45828</v>
      </c>
      <c r="H364" s="21" t="s">
        <v>47</v>
      </c>
      <c r="I364" s="52">
        <v>22782.06</v>
      </c>
      <c r="S364" s="46">
        <v>45826</v>
      </c>
      <c r="AC364" s="18" t="s">
        <v>26</v>
      </c>
    </row>
    <row r="365" spans="1:29">
      <c r="A365" s="21">
        <v>354</v>
      </c>
      <c r="B365" s="1" t="s">
        <v>267</v>
      </c>
      <c r="C365" s="21" t="s">
        <v>689</v>
      </c>
      <c r="D365" s="21" t="s">
        <v>692</v>
      </c>
      <c r="E365" s="1" t="s">
        <v>693</v>
      </c>
      <c r="F365" s="46">
        <v>45826</v>
      </c>
      <c r="G365" s="46"/>
      <c r="H365" s="21" t="s">
        <v>47</v>
      </c>
      <c r="I365" s="52">
        <v>79852.5</v>
      </c>
      <c r="J365" s="52">
        <v>61803</v>
      </c>
      <c r="K365" s="52">
        <v>48375</v>
      </c>
      <c r="S365" s="46">
        <v>45826</v>
      </c>
      <c r="T365" s="46">
        <v>45829</v>
      </c>
      <c r="U365" s="46">
        <v>45832</v>
      </c>
      <c r="AC365" s="18" t="s">
        <v>26</v>
      </c>
    </row>
    <row r="366" spans="1:29">
      <c r="A366" s="21">
        <v>355</v>
      </c>
      <c r="B366" s="1" t="s">
        <v>267</v>
      </c>
      <c r="C366" s="21" t="s">
        <v>690</v>
      </c>
      <c r="D366" s="21" t="s">
        <v>692</v>
      </c>
      <c r="E366" s="1" t="s">
        <v>694</v>
      </c>
      <c r="F366" s="46">
        <v>45826</v>
      </c>
      <c r="H366" s="21" t="s">
        <v>47</v>
      </c>
    </row>
    <row r="367" spans="1:29">
      <c r="A367" s="21">
        <v>356</v>
      </c>
      <c r="B367" s="1" t="s">
        <v>267</v>
      </c>
      <c r="C367" s="21" t="s">
        <v>691</v>
      </c>
      <c r="D367" s="21" t="s">
        <v>692</v>
      </c>
      <c r="E367" s="1" t="s">
        <v>695</v>
      </c>
      <c r="F367" s="46">
        <v>45826</v>
      </c>
      <c r="H367" s="21" t="s">
        <v>47</v>
      </c>
      <c r="I367" s="52">
        <v>800</v>
      </c>
      <c r="J367" s="52">
        <v>625</v>
      </c>
      <c r="S367" s="46">
        <v>45827</v>
      </c>
      <c r="AC367" s="18" t="s">
        <v>26</v>
      </c>
    </row>
    <row r="368" spans="1:29">
      <c r="A368" s="21">
        <v>357</v>
      </c>
      <c r="B368" s="1" t="s">
        <v>291</v>
      </c>
      <c r="C368" s="21" t="s">
        <v>696</v>
      </c>
      <c r="D368" s="21" t="s">
        <v>180</v>
      </c>
      <c r="E368" s="1" t="s">
        <v>697</v>
      </c>
      <c r="F368" s="46">
        <v>45826</v>
      </c>
      <c r="H368" s="21" t="s">
        <v>47</v>
      </c>
      <c r="I368" s="52">
        <v>120</v>
      </c>
      <c r="S368" s="46">
        <v>45826</v>
      </c>
      <c r="AC368" s="18" t="s">
        <v>26</v>
      </c>
    </row>
    <row r="369" spans="1:29">
      <c r="A369" s="21">
        <v>358</v>
      </c>
      <c r="B369" s="1" t="s">
        <v>95</v>
      </c>
      <c r="C369" s="21" t="s">
        <v>698</v>
      </c>
      <c r="D369" s="21" t="s">
        <v>180</v>
      </c>
      <c r="E369" s="1" t="s">
        <v>699</v>
      </c>
      <c r="F369" s="46">
        <v>45826</v>
      </c>
      <c r="H369" s="21" t="s">
        <v>47</v>
      </c>
    </row>
    <row r="370" spans="1:29">
      <c r="A370" s="21">
        <v>359</v>
      </c>
      <c r="B370" s="1" t="s">
        <v>267</v>
      </c>
      <c r="C370" s="21" t="s">
        <v>700</v>
      </c>
      <c r="D370" s="21" t="s">
        <v>692</v>
      </c>
      <c r="E370" s="1" t="s">
        <v>701</v>
      </c>
      <c r="F370" s="46">
        <v>45826</v>
      </c>
      <c r="H370" s="21" t="s">
        <v>47</v>
      </c>
      <c r="I370" s="52">
        <v>1837.5</v>
      </c>
      <c r="S370" s="46">
        <v>45827</v>
      </c>
      <c r="AC370" s="18" t="s">
        <v>26</v>
      </c>
    </row>
    <row r="371" spans="1:29">
      <c r="A371" s="21">
        <v>360</v>
      </c>
      <c r="B371" s="1" t="s">
        <v>267</v>
      </c>
      <c r="C371" s="21" t="s">
        <v>702</v>
      </c>
      <c r="D371" s="21" t="s">
        <v>692</v>
      </c>
      <c r="E371" s="1" t="s">
        <v>703</v>
      </c>
      <c r="F371" s="46">
        <v>45826</v>
      </c>
      <c r="H371" s="21" t="s">
        <v>47</v>
      </c>
    </row>
    <row r="372" spans="1:29">
      <c r="A372" s="21">
        <v>361</v>
      </c>
      <c r="B372" s="1" t="s">
        <v>267</v>
      </c>
      <c r="C372" s="21" t="s">
        <v>704</v>
      </c>
      <c r="D372" s="21" t="s">
        <v>692</v>
      </c>
      <c r="E372" s="1" t="s">
        <v>705</v>
      </c>
      <c r="F372" s="46">
        <v>45826</v>
      </c>
      <c r="H372" s="21" t="s">
        <v>47</v>
      </c>
      <c r="I372" s="52">
        <v>700</v>
      </c>
      <c r="S372" s="46">
        <v>45827</v>
      </c>
      <c r="AC372" s="18" t="s">
        <v>26</v>
      </c>
    </row>
    <row r="373" spans="1:29">
      <c r="A373" s="21">
        <v>362</v>
      </c>
      <c r="B373" s="1" t="s">
        <v>267</v>
      </c>
      <c r="C373" s="21" t="s">
        <v>706</v>
      </c>
      <c r="D373" s="21" t="s">
        <v>692</v>
      </c>
      <c r="E373" s="1" t="s">
        <v>707</v>
      </c>
      <c r="F373" s="46">
        <v>45826</v>
      </c>
      <c r="H373" s="21" t="s">
        <v>47</v>
      </c>
    </row>
    <row r="374" spans="1:29">
      <c r="A374" s="21">
        <v>363</v>
      </c>
      <c r="B374" s="1" t="s">
        <v>267</v>
      </c>
      <c r="C374" s="21" t="s">
        <v>708</v>
      </c>
      <c r="D374" s="21" t="s">
        <v>692</v>
      </c>
      <c r="E374" s="1" t="s">
        <v>709</v>
      </c>
      <c r="F374" s="46">
        <v>45826</v>
      </c>
      <c r="H374" s="21" t="s">
        <v>47</v>
      </c>
    </row>
    <row r="375" spans="1:29">
      <c r="A375" s="21">
        <v>364</v>
      </c>
      <c r="B375" s="1" t="s">
        <v>91</v>
      </c>
      <c r="C375" s="21" t="s">
        <v>710</v>
      </c>
      <c r="D375" s="21" t="s">
        <v>180</v>
      </c>
      <c r="E375" s="1" t="s">
        <v>711</v>
      </c>
      <c r="F375" s="46">
        <v>45831</v>
      </c>
      <c r="H375" s="21" t="s">
        <v>47</v>
      </c>
    </row>
    <row r="376" spans="1:29">
      <c r="A376" s="21">
        <v>365</v>
      </c>
      <c r="B376" s="1" t="s">
        <v>88</v>
      </c>
      <c r="C376" s="21">
        <v>2012503147</v>
      </c>
      <c r="D376" s="21" t="s">
        <v>180</v>
      </c>
      <c r="E376" s="1" t="s">
        <v>712</v>
      </c>
      <c r="F376" s="46">
        <v>45831</v>
      </c>
      <c r="G376" s="46">
        <v>45835</v>
      </c>
      <c r="H376" s="21" t="s">
        <v>47</v>
      </c>
      <c r="I376" s="52">
        <v>6615</v>
      </c>
      <c r="J376" s="52">
        <v>9450</v>
      </c>
      <c r="S376" s="46">
        <v>45832</v>
      </c>
      <c r="T376" s="46">
        <v>45832</v>
      </c>
      <c r="AC376" s="18" t="s">
        <v>26</v>
      </c>
    </row>
    <row r="377" spans="1:29">
      <c r="A377" s="21">
        <v>366</v>
      </c>
      <c r="B377" s="1" t="s">
        <v>88</v>
      </c>
      <c r="C377" s="21">
        <v>2012503153</v>
      </c>
      <c r="D377" s="21" t="s">
        <v>180</v>
      </c>
      <c r="E377" s="1" t="s">
        <v>713</v>
      </c>
      <c r="F377" s="46">
        <v>45831</v>
      </c>
      <c r="G377" s="46">
        <v>45835</v>
      </c>
      <c r="H377" s="21" t="s">
        <v>47</v>
      </c>
      <c r="I377" s="52">
        <v>21577.5</v>
      </c>
      <c r="J377" s="52">
        <v>9499.9500000000007</v>
      </c>
      <c r="S377" s="46">
        <v>45832</v>
      </c>
      <c r="T377" s="46">
        <v>45832</v>
      </c>
      <c r="AC377" s="18" t="s">
        <v>26</v>
      </c>
    </row>
    <row r="378" spans="1:29">
      <c r="A378" s="21">
        <v>367</v>
      </c>
      <c r="B378" s="1" t="s">
        <v>88</v>
      </c>
      <c r="C378" s="21">
        <v>2012503155</v>
      </c>
      <c r="D378" s="21" t="s">
        <v>180</v>
      </c>
      <c r="E378" s="1" t="s">
        <v>714</v>
      </c>
      <c r="F378" s="46">
        <v>45831</v>
      </c>
      <c r="G378" s="46">
        <v>45835</v>
      </c>
      <c r="H378" s="21" t="s">
        <v>47</v>
      </c>
      <c r="I378" s="52">
        <v>2992.5</v>
      </c>
      <c r="J378" s="52">
        <v>2362.5</v>
      </c>
      <c r="K378" s="52">
        <v>2100</v>
      </c>
      <c r="S378" s="46">
        <v>45834</v>
      </c>
      <c r="T378" s="46">
        <v>45832</v>
      </c>
      <c r="U378" s="46">
        <v>45832</v>
      </c>
      <c r="AC378" s="18" t="s">
        <v>26</v>
      </c>
    </row>
    <row r="379" spans="1:29">
      <c r="A379" s="21">
        <v>368</v>
      </c>
      <c r="B379" s="1" t="s">
        <v>88</v>
      </c>
      <c r="C379" s="21">
        <v>2012503143</v>
      </c>
      <c r="D379" s="21" t="s">
        <v>180</v>
      </c>
      <c r="E379" s="1" t="s">
        <v>715</v>
      </c>
      <c r="F379" s="46">
        <v>45831</v>
      </c>
      <c r="G379" s="46">
        <v>45835</v>
      </c>
      <c r="H379" s="21" t="s">
        <v>47</v>
      </c>
      <c r="S379" s="46"/>
    </row>
    <row r="380" spans="1:29">
      <c r="A380" s="21">
        <v>369</v>
      </c>
      <c r="B380" s="1" t="s">
        <v>88</v>
      </c>
      <c r="C380" s="21">
        <v>2012503145</v>
      </c>
      <c r="D380" s="21" t="s">
        <v>180</v>
      </c>
      <c r="E380" s="1" t="s">
        <v>716</v>
      </c>
      <c r="F380" s="46">
        <v>45831</v>
      </c>
      <c r="G380" s="46">
        <v>45835</v>
      </c>
      <c r="H380" s="21" t="s">
        <v>47</v>
      </c>
    </row>
    <row r="381" spans="1:29">
      <c r="A381" s="21">
        <v>370</v>
      </c>
      <c r="B381" s="1" t="s">
        <v>31</v>
      </c>
      <c r="C381" s="21" t="s">
        <v>717</v>
      </c>
      <c r="D381" s="21" t="s">
        <v>180</v>
      </c>
      <c r="E381" s="1" t="s">
        <v>719</v>
      </c>
      <c r="F381" s="46">
        <v>45831</v>
      </c>
      <c r="G381" s="46">
        <v>45835</v>
      </c>
      <c r="H381" s="21" t="s">
        <v>47</v>
      </c>
    </row>
    <row r="382" spans="1:29">
      <c r="A382" s="21">
        <v>371</v>
      </c>
      <c r="B382" s="1" t="s">
        <v>31</v>
      </c>
      <c r="C382" s="21" t="s">
        <v>718</v>
      </c>
      <c r="D382" s="21" t="s">
        <v>180</v>
      </c>
      <c r="E382" s="1" t="s">
        <v>720</v>
      </c>
      <c r="F382" s="46">
        <v>45831</v>
      </c>
      <c r="G382" s="46">
        <v>45837</v>
      </c>
      <c r="H382" s="21" t="s">
        <v>47</v>
      </c>
    </row>
    <row r="383" spans="1:29">
      <c r="A383" s="21">
        <v>372</v>
      </c>
      <c r="B383" s="1" t="s">
        <v>91</v>
      </c>
      <c r="C383" s="21" t="s">
        <v>721</v>
      </c>
      <c r="D383" s="21" t="s">
        <v>180</v>
      </c>
      <c r="E383" s="1" t="s">
        <v>722</v>
      </c>
      <c r="F383" s="46">
        <v>45833</v>
      </c>
      <c r="H383" s="21" t="s">
        <v>47</v>
      </c>
      <c r="I383" s="52">
        <v>29306.55</v>
      </c>
      <c r="S383" s="46">
        <v>45833</v>
      </c>
      <c r="AC383" s="18" t="s">
        <v>26</v>
      </c>
    </row>
    <row r="384" spans="1:29">
      <c r="A384" s="21">
        <v>373</v>
      </c>
      <c r="B384" s="1" t="s">
        <v>91</v>
      </c>
      <c r="C384" s="21" t="s">
        <v>723</v>
      </c>
      <c r="D384" s="21" t="s">
        <v>180</v>
      </c>
      <c r="E384" s="1" t="s">
        <v>724</v>
      </c>
      <c r="F384" s="46">
        <v>45833</v>
      </c>
      <c r="H384" s="21" t="s">
        <v>47</v>
      </c>
      <c r="I384" s="52">
        <v>5250</v>
      </c>
      <c r="J384" s="52">
        <v>3836.7</v>
      </c>
      <c r="S384" s="46">
        <v>45838</v>
      </c>
      <c r="T384" s="46">
        <v>45834</v>
      </c>
      <c r="AC384" s="18" t="s">
        <v>26</v>
      </c>
    </row>
    <row r="385" spans="1:29">
      <c r="A385" s="21">
        <v>374</v>
      </c>
      <c r="C385" s="21" t="s">
        <v>726</v>
      </c>
      <c r="D385" s="21" t="s">
        <v>180</v>
      </c>
      <c r="E385" s="1" t="s">
        <v>725</v>
      </c>
      <c r="F385" s="46">
        <v>45833</v>
      </c>
      <c r="H385" s="21" t="s">
        <v>47</v>
      </c>
    </row>
    <row r="386" spans="1:29">
      <c r="A386" s="21">
        <v>375</v>
      </c>
      <c r="B386" s="1" t="s">
        <v>95</v>
      </c>
      <c r="C386" s="21" t="s">
        <v>727</v>
      </c>
      <c r="D386" s="21" t="s">
        <v>180</v>
      </c>
      <c r="E386" s="1" t="s">
        <v>728</v>
      </c>
      <c r="F386" s="46">
        <v>45834</v>
      </c>
      <c r="H386" s="21" t="s">
        <v>47</v>
      </c>
      <c r="I386" s="52">
        <v>17235</v>
      </c>
      <c r="S386" s="46">
        <v>45834</v>
      </c>
      <c r="AC386" s="18" t="s">
        <v>26</v>
      </c>
    </row>
    <row r="387" spans="1:29">
      <c r="A387" s="21">
        <v>376</v>
      </c>
      <c r="C387" s="21" t="s">
        <v>729</v>
      </c>
      <c r="D387" s="21" t="s">
        <v>180</v>
      </c>
      <c r="E387" s="1" t="s">
        <v>730</v>
      </c>
      <c r="F387" s="46">
        <v>45834</v>
      </c>
      <c r="H387" s="21" t="s">
        <v>47</v>
      </c>
      <c r="I387" s="52">
        <f>399+504</f>
        <v>903</v>
      </c>
      <c r="J387" s="52">
        <v>270.99</v>
      </c>
      <c r="K387" s="52">
        <v>1978.46</v>
      </c>
      <c r="S387" s="46">
        <v>45838</v>
      </c>
      <c r="T387" s="46">
        <v>45838</v>
      </c>
      <c r="U387" s="46">
        <v>45841</v>
      </c>
      <c r="AC387" s="18" t="s">
        <v>26</v>
      </c>
    </row>
    <row r="388" spans="1:29">
      <c r="A388" s="21">
        <v>377</v>
      </c>
      <c r="B388" s="1" t="s">
        <v>91</v>
      </c>
      <c r="C388" s="21" t="s">
        <v>747</v>
      </c>
      <c r="D388" s="21" t="s">
        <v>180</v>
      </c>
      <c r="E388" s="1" t="s">
        <v>748</v>
      </c>
      <c r="F388" s="46">
        <v>45834</v>
      </c>
      <c r="H388" s="21" t="s">
        <v>47</v>
      </c>
    </row>
    <row r="389" spans="1:29">
      <c r="A389" s="21">
        <v>378</v>
      </c>
      <c r="B389" s="1" t="s">
        <v>91</v>
      </c>
      <c r="C389" s="21" t="s">
        <v>749</v>
      </c>
      <c r="D389" s="21" t="s">
        <v>180</v>
      </c>
      <c r="E389" s="1" t="s">
        <v>750</v>
      </c>
      <c r="F389" s="46">
        <v>45834</v>
      </c>
      <c r="H389" s="21" t="s">
        <v>47</v>
      </c>
      <c r="I389" s="52">
        <v>1935.15</v>
      </c>
      <c r="J389" s="52">
        <v>1890</v>
      </c>
      <c r="S389" s="46">
        <v>45835</v>
      </c>
      <c r="T389" s="46">
        <v>45839</v>
      </c>
      <c r="AC389" s="18" t="s">
        <v>26</v>
      </c>
    </row>
    <row r="390" spans="1:29">
      <c r="A390" s="21">
        <v>379</v>
      </c>
      <c r="B390" s="1" t="s">
        <v>88</v>
      </c>
      <c r="C390" s="21">
        <v>2012503199</v>
      </c>
      <c r="D390" s="21" t="s">
        <v>180</v>
      </c>
      <c r="E390" s="1" t="s">
        <v>731</v>
      </c>
      <c r="F390" s="46">
        <v>45834</v>
      </c>
      <c r="G390" s="46">
        <v>45839</v>
      </c>
      <c r="H390" s="21" t="s">
        <v>47</v>
      </c>
      <c r="I390" s="52">
        <v>4305</v>
      </c>
      <c r="J390" s="52">
        <v>4200</v>
      </c>
      <c r="S390" s="46">
        <v>45839</v>
      </c>
      <c r="T390" s="46">
        <v>45838</v>
      </c>
      <c r="AC390" s="18" t="s">
        <v>26</v>
      </c>
    </row>
    <row r="391" spans="1:29">
      <c r="A391" s="21">
        <v>380</v>
      </c>
      <c r="B391" s="1" t="s">
        <v>88</v>
      </c>
      <c r="C391" s="66">
        <v>2412501025</v>
      </c>
      <c r="D391" s="21" t="s">
        <v>180</v>
      </c>
      <c r="E391" s="1" t="s">
        <v>732</v>
      </c>
      <c r="F391" s="46">
        <v>45834</v>
      </c>
      <c r="G391" s="46">
        <v>45839</v>
      </c>
      <c r="H391" s="21" t="s">
        <v>47</v>
      </c>
    </row>
    <row r="392" spans="1:29">
      <c r="A392" s="21">
        <v>381</v>
      </c>
      <c r="B392" s="1" t="s">
        <v>88</v>
      </c>
      <c r="C392" s="21">
        <v>2412501023</v>
      </c>
      <c r="D392" s="21" t="s">
        <v>180</v>
      </c>
      <c r="E392" s="1" t="s">
        <v>733</v>
      </c>
      <c r="F392" s="46">
        <v>45834</v>
      </c>
      <c r="G392" s="46">
        <v>45839</v>
      </c>
      <c r="H392" s="21" t="s">
        <v>47</v>
      </c>
    </row>
    <row r="393" spans="1:29">
      <c r="A393" s="21">
        <v>382</v>
      </c>
      <c r="B393" s="1" t="s">
        <v>88</v>
      </c>
      <c r="C393" s="66">
        <v>2012503197</v>
      </c>
      <c r="D393" s="21" t="s">
        <v>180</v>
      </c>
      <c r="E393" s="1" t="s">
        <v>734</v>
      </c>
      <c r="F393" s="46">
        <v>45834</v>
      </c>
      <c r="G393" s="46">
        <v>45839</v>
      </c>
      <c r="H393" s="21" t="s">
        <v>47</v>
      </c>
    </row>
    <row r="394" spans="1:29">
      <c r="A394" s="21">
        <v>383</v>
      </c>
      <c r="B394" s="1" t="s">
        <v>88</v>
      </c>
      <c r="C394" s="66">
        <v>2012503195</v>
      </c>
      <c r="D394" s="21" t="s">
        <v>180</v>
      </c>
      <c r="E394" s="1" t="s">
        <v>735</v>
      </c>
      <c r="F394" s="46">
        <v>45834</v>
      </c>
      <c r="G394" s="46">
        <v>45839</v>
      </c>
      <c r="H394" s="21" t="s">
        <v>47</v>
      </c>
      <c r="I394" s="52">
        <v>12180</v>
      </c>
      <c r="J394" s="52">
        <v>12599.978999999999</v>
      </c>
      <c r="S394" s="46">
        <v>45836</v>
      </c>
      <c r="T394" s="46">
        <v>45838</v>
      </c>
      <c r="AC394" s="18" t="s">
        <v>26</v>
      </c>
    </row>
    <row r="395" spans="1:29">
      <c r="A395" s="21">
        <v>384</v>
      </c>
      <c r="B395" s="1" t="s">
        <v>88</v>
      </c>
      <c r="C395" s="66">
        <v>2492500355</v>
      </c>
      <c r="D395" s="21" t="s">
        <v>180</v>
      </c>
      <c r="E395" s="1" t="s">
        <v>736</v>
      </c>
      <c r="F395" s="46">
        <v>45834</v>
      </c>
      <c r="G395" s="46">
        <v>45839</v>
      </c>
      <c r="H395" s="21" t="s">
        <v>47</v>
      </c>
      <c r="I395" s="52">
        <v>119.7</v>
      </c>
      <c r="S395" s="46">
        <v>45838</v>
      </c>
      <c r="AC395" s="18" t="s">
        <v>26</v>
      </c>
    </row>
    <row r="396" spans="1:29">
      <c r="A396" s="21">
        <v>385</v>
      </c>
      <c r="B396" s="1" t="s">
        <v>88</v>
      </c>
      <c r="C396" s="21">
        <v>2012503181</v>
      </c>
      <c r="D396" s="21" t="s">
        <v>180</v>
      </c>
      <c r="E396" s="1" t="s">
        <v>737</v>
      </c>
      <c r="F396" s="46">
        <v>45834</v>
      </c>
      <c r="G396" s="46">
        <v>45839</v>
      </c>
      <c r="H396" s="21" t="s">
        <v>47</v>
      </c>
    </row>
    <row r="397" spans="1:29">
      <c r="A397" s="21">
        <v>386</v>
      </c>
      <c r="B397" s="1" t="s">
        <v>88</v>
      </c>
      <c r="C397" s="21">
        <v>2012503201</v>
      </c>
      <c r="D397" s="21" t="s">
        <v>180</v>
      </c>
      <c r="E397" s="1" t="s">
        <v>738</v>
      </c>
      <c r="F397" s="46">
        <v>45834</v>
      </c>
      <c r="G397" s="46">
        <v>45841</v>
      </c>
      <c r="H397" s="21" t="s">
        <v>47</v>
      </c>
      <c r="I397" s="52">
        <v>331020</v>
      </c>
      <c r="J397" s="52">
        <v>161600</v>
      </c>
      <c r="S397" s="46">
        <v>45838</v>
      </c>
      <c r="T397" s="46">
        <v>45839</v>
      </c>
    </row>
    <row r="398" spans="1:29">
      <c r="A398" s="21">
        <v>387</v>
      </c>
      <c r="B398" s="1" t="s">
        <v>88</v>
      </c>
      <c r="C398" s="21">
        <v>2012503243</v>
      </c>
      <c r="D398" s="21" t="s">
        <v>180</v>
      </c>
      <c r="E398" s="1" t="s">
        <v>739</v>
      </c>
      <c r="F398" s="46">
        <v>45834</v>
      </c>
      <c r="G398" s="46">
        <v>45841</v>
      </c>
      <c r="H398" s="21" t="s">
        <v>47</v>
      </c>
      <c r="I398" s="52">
        <v>1850.98</v>
      </c>
      <c r="S398" s="46">
        <v>45842</v>
      </c>
      <c r="AC398" s="18" t="s">
        <v>26</v>
      </c>
    </row>
    <row r="399" spans="1:29">
      <c r="A399" s="21">
        <v>388</v>
      </c>
      <c r="B399" s="1" t="s">
        <v>88</v>
      </c>
      <c r="C399" s="21">
        <v>2012503241</v>
      </c>
      <c r="D399" s="21" t="s">
        <v>180</v>
      </c>
      <c r="E399" s="1" t="s">
        <v>740</v>
      </c>
      <c r="F399" s="46">
        <v>45834</v>
      </c>
      <c r="G399" s="46">
        <v>45838</v>
      </c>
      <c r="H399" s="21" t="s">
        <v>47</v>
      </c>
    </row>
    <row r="400" spans="1:29">
      <c r="A400" s="21">
        <v>389</v>
      </c>
      <c r="B400" s="1" t="s">
        <v>88</v>
      </c>
      <c r="C400" s="21">
        <v>2012503240</v>
      </c>
      <c r="D400" s="21" t="s">
        <v>180</v>
      </c>
      <c r="E400" s="1" t="s">
        <v>741</v>
      </c>
      <c r="F400" s="46">
        <v>45834</v>
      </c>
      <c r="G400" s="46">
        <v>45841</v>
      </c>
      <c r="H400" s="21" t="s">
        <v>47</v>
      </c>
    </row>
    <row r="401" spans="1:29">
      <c r="A401" s="21">
        <v>390</v>
      </c>
      <c r="B401" s="1" t="s">
        <v>88</v>
      </c>
      <c r="C401" s="21">
        <v>2012503238</v>
      </c>
      <c r="D401" s="21" t="s">
        <v>180</v>
      </c>
      <c r="E401" s="1" t="s">
        <v>742</v>
      </c>
      <c r="F401" s="46">
        <v>45834</v>
      </c>
      <c r="G401" s="46">
        <v>45841</v>
      </c>
      <c r="H401" s="21" t="s">
        <v>47</v>
      </c>
    </row>
    <row r="402" spans="1:29">
      <c r="A402" s="21">
        <v>391</v>
      </c>
      <c r="B402" s="1" t="s">
        <v>88</v>
      </c>
      <c r="C402" s="21">
        <v>2012503239</v>
      </c>
      <c r="D402" s="21" t="s">
        <v>180</v>
      </c>
      <c r="E402" s="1" t="s">
        <v>743</v>
      </c>
      <c r="F402" s="46">
        <v>45834</v>
      </c>
      <c r="G402" s="46">
        <v>45841</v>
      </c>
      <c r="H402" s="21" t="s">
        <v>47</v>
      </c>
      <c r="I402" s="52">
        <v>3118.5</v>
      </c>
      <c r="S402" s="46">
        <v>45838</v>
      </c>
      <c r="AC402" s="18" t="s">
        <v>26</v>
      </c>
    </row>
    <row r="403" spans="1:29">
      <c r="A403" s="21">
        <v>392</v>
      </c>
      <c r="B403" s="1" t="s">
        <v>88</v>
      </c>
      <c r="C403" s="21">
        <v>2012503236</v>
      </c>
      <c r="D403" s="21" t="s">
        <v>180</v>
      </c>
      <c r="E403" s="1" t="s">
        <v>744</v>
      </c>
      <c r="F403" s="46">
        <v>45834</v>
      </c>
      <c r="G403" s="46">
        <v>45840</v>
      </c>
      <c r="H403" s="21" t="s">
        <v>47</v>
      </c>
    </row>
    <row r="404" spans="1:29">
      <c r="A404" s="21">
        <v>393</v>
      </c>
      <c r="B404" s="1" t="s">
        <v>751</v>
      </c>
      <c r="C404" s="21" t="s">
        <v>745</v>
      </c>
      <c r="D404" s="21" t="s">
        <v>180</v>
      </c>
      <c r="E404" s="1" t="s">
        <v>746</v>
      </c>
      <c r="F404" s="46">
        <v>45838</v>
      </c>
      <c r="H404" s="21" t="s">
        <v>47</v>
      </c>
    </row>
    <row r="405" spans="1:29">
      <c r="A405" s="21">
        <v>394</v>
      </c>
      <c r="B405" s="1" t="s">
        <v>94</v>
      </c>
      <c r="C405" s="21" t="s">
        <v>752</v>
      </c>
      <c r="D405" s="21" t="s">
        <v>180</v>
      </c>
      <c r="E405" s="1" t="s">
        <v>753</v>
      </c>
      <c r="F405" s="46">
        <v>45839</v>
      </c>
      <c r="H405" s="21" t="s">
        <v>47</v>
      </c>
    </row>
    <row r="406" spans="1:29">
      <c r="A406" s="21">
        <v>395</v>
      </c>
      <c r="B406" s="1" t="s">
        <v>91</v>
      </c>
      <c r="C406" s="21" t="s">
        <v>754</v>
      </c>
      <c r="D406" s="21" t="s">
        <v>180</v>
      </c>
      <c r="E406" s="1" t="s">
        <v>755</v>
      </c>
      <c r="F406" s="46">
        <v>45839</v>
      </c>
      <c r="H406" s="21" t="s">
        <v>47</v>
      </c>
    </row>
    <row r="407" spans="1:29">
      <c r="A407" s="21">
        <v>396</v>
      </c>
      <c r="B407" s="1" t="s">
        <v>91</v>
      </c>
      <c r="C407" s="21" t="s">
        <v>756</v>
      </c>
      <c r="D407" s="21" t="s">
        <v>180</v>
      </c>
      <c r="E407" s="1" t="s">
        <v>757</v>
      </c>
      <c r="F407" s="46">
        <v>45839</v>
      </c>
      <c r="H407" s="21" t="s">
        <v>47</v>
      </c>
      <c r="I407" s="52">
        <v>44895</v>
      </c>
      <c r="J407" s="52">
        <v>67713.649999999994</v>
      </c>
      <c r="S407" s="46">
        <v>45840</v>
      </c>
      <c r="T407" s="46">
        <v>45840</v>
      </c>
      <c r="AC407" s="18" t="s">
        <v>26</v>
      </c>
    </row>
    <row r="408" spans="1:29">
      <c r="A408" s="21">
        <v>397</v>
      </c>
      <c r="B408" s="1" t="s">
        <v>91</v>
      </c>
      <c r="C408" s="21" t="s">
        <v>806</v>
      </c>
      <c r="D408" s="21" t="s">
        <v>180</v>
      </c>
      <c r="E408" s="1" t="s">
        <v>807</v>
      </c>
      <c r="F408" s="46">
        <v>45839</v>
      </c>
      <c r="H408" s="21" t="s">
        <v>47</v>
      </c>
      <c r="I408" s="52">
        <v>3280</v>
      </c>
      <c r="S408" s="46">
        <v>45840</v>
      </c>
      <c r="AC408" s="18" t="s">
        <v>26</v>
      </c>
    </row>
    <row r="409" spans="1:29">
      <c r="A409" s="21">
        <v>398</v>
      </c>
      <c r="B409" s="1" t="s">
        <v>95</v>
      </c>
      <c r="C409" s="21" t="s">
        <v>759</v>
      </c>
      <c r="D409" s="21" t="s">
        <v>180</v>
      </c>
      <c r="E409" s="1" t="s">
        <v>758</v>
      </c>
      <c r="F409" s="46">
        <v>45840</v>
      </c>
      <c r="H409" s="21" t="s">
        <v>47</v>
      </c>
    </row>
    <row r="410" spans="1:29">
      <c r="A410" s="21">
        <v>399</v>
      </c>
      <c r="B410" s="1" t="s">
        <v>107</v>
      </c>
      <c r="C410" s="21" t="s">
        <v>760</v>
      </c>
      <c r="D410" s="21" t="s">
        <v>65</v>
      </c>
      <c r="E410" s="1" t="s">
        <v>761</v>
      </c>
      <c r="F410" s="46">
        <v>45840</v>
      </c>
      <c r="G410" s="46">
        <v>45845</v>
      </c>
      <c r="H410" s="21" t="s">
        <v>47</v>
      </c>
    </row>
    <row r="411" spans="1:29">
      <c r="A411" s="21">
        <v>400</v>
      </c>
      <c r="B411" s="1" t="s">
        <v>107</v>
      </c>
      <c r="C411" s="65" t="s">
        <v>762</v>
      </c>
      <c r="D411" s="21" t="s">
        <v>65</v>
      </c>
      <c r="E411" s="1" t="s">
        <v>763</v>
      </c>
      <c r="F411" s="46">
        <v>45840</v>
      </c>
      <c r="G411" s="46">
        <v>45845</v>
      </c>
      <c r="H411" s="21" t="s">
        <v>47</v>
      </c>
    </row>
    <row r="412" spans="1:29">
      <c r="A412" s="21">
        <v>401</v>
      </c>
      <c r="B412" s="1" t="s">
        <v>107</v>
      </c>
      <c r="C412" s="21" t="s">
        <v>764</v>
      </c>
      <c r="D412" s="21" t="s">
        <v>65</v>
      </c>
      <c r="E412" s="1" t="s">
        <v>765</v>
      </c>
      <c r="F412" s="46">
        <v>45840</v>
      </c>
      <c r="G412" s="46">
        <v>45845</v>
      </c>
      <c r="H412" s="21" t="s">
        <v>47</v>
      </c>
      <c r="I412" s="52">
        <v>4772.3900000000003</v>
      </c>
      <c r="S412" s="46">
        <v>45846</v>
      </c>
      <c r="AC412" s="19" t="s">
        <v>27</v>
      </c>
    </row>
    <row r="413" spans="1:29">
      <c r="A413" s="21">
        <v>402</v>
      </c>
      <c r="B413" s="1" t="s">
        <v>107</v>
      </c>
      <c r="C413" s="21" t="s">
        <v>766</v>
      </c>
      <c r="D413" s="21" t="s">
        <v>65</v>
      </c>
      <c r="E413" s="1" t="s">
        <v>767</v>
      </c>
      <c r="F413" s="46">
        <v>45840</v>
      </c>
      <c r="G413" s="46">
        <v>45845</v>
      </c>
      <c r="H413" s="21" t="s">
        <v>47</v>
      </c>
    </row>
    <row r="414" spans="1:29">
      <c r="A414" s="21">
        <v>403</v>
      </c>
      <c r="B414" s="1" t="s">
        <v>107</v>
      </c>
      <c r="C414" s="21" t="s">
        <v>768</v>
      </c>
      <c r="D414" s="21" t="s">
        <v>65</v>
      </c>
      <c r="E414" s="1" t="s">
        <v>769</v>
      </c>
      <c r="F414" s="46">
        <v>45840</v>
      </c>
      <c r="G414" s="46">
        <v>45845</v>
      </c>
      <c r="H414" s="21" t="s">
        <v>47</v>
      </c>
      <c r="I414" s="52">
        <v>9372.2199999999993</v>
      </c>
      <c r="S414" s="46">
        <v>45845</v>
      </c>
      <c r="AC414" s="18" t="s">
        <v>26</v>
      </c>
    </row>
    <row r="415" spans="1:29">
      <c r="A415" s="21">
        <v>404</v>
      </c>
      <c r="B415" s="1" t="s">
        <v>107</v>
      </c>
      <c r="C415" s="21" t="s">
        <v>770</v>
      </c>
      <c r="D415" s="21" t="s">
        <v>65</v>
      </c>
      <c r="E415" s="1" t="s">
        <v>771</v>
      </c>
      <c r="F415" s="46">
        <v>45840</v>
      </c>
      <c r="G415" s="46">
        <v>45845</v>
      </c>
      <c r="H415" s="21" t="s">
        <v>47</v>
      </c>
      <c r="I415" s="52">
        <v>31164</v>
      </c>
      <c r="S415" s="46">
        <v>45841</v>
      </c>
      <c r="AC415" s="18" t="s">
        <v>26</v>
      </c>
    </row>
    <row r="416" spans="1:29">
      <c r="A416" s="21">
        <v>405</v>
      </c>
      <c r="B416" s="1" t="s">
        <v>107</v>
      </c>
      <c r="C416" s="21" t="s">
        <v>772</v>
      </c>
      <c r="D416" s="21" t="s">
        <v>65</v>
      </c>
      <c r="E416" s="1" t="s">
        <v>773</v>
      </c>
      <c r="F416" s="46">
        <v>45840</v>
      </c>
      <c r="G416" s="46">
        <v>45845</v>
      </c>
      <c r="H416" s="21" t="s">
        <v>47</v>
      </c>
    </row>
    <row r="417" spans="1:29">
      <c r="A417" s="21">
        <v>406</v>
      </c>
      <c r="B417" s="1" t="s">
        <v>107</v>
      </c>
      <c r="C417" s="21" t="s">
        <v>774</v>
      </c>
      <c r="D417" s="21" t="s">
        <v>65</v>
      </c>
      <c r="E417" s="1" t="s">
        <v>775</v>
      </c>
      <c r="F417" s="46">
        <v>45840</v>
      </c>
      <c r="G417" s="46">
        <v>45845</v>
      </c>
      <c r="H417" s="21" t="s">
        <v>47</v>
      </c>
    </row>
    <row r="418" spans="1:29">
      <c r="A418" s="21">
        <v>407</v>
      </c>
      <c r="B418" s="1" t="s">
        <v>107</v>
      </c>
      <c r="C418" s="21" t="s">
        <v>776</v>
      </c>
      <c r="D418" s="21" t="s">
        <v>65</v>
      </c>
      <c r="E418" s="1" t="s">
        <v>777</v>
      </c>
      <c r="F418" s="46">
        <v>45840</v>
      </c>
      <c r="G418" s="46">
        <v>45845</v>
      </c>
      <c r="H418" s="21" t="s">
        <v>47</v>
      </c>
    </row>
    <row r="419" spans="1:29">
      <c r="A419" s="21">
        <v>408</v>
      </c>
      <c r="B419" s="1" t="s">
        <v>107</v>
      </c>
      <c r="C419" s="21" t="s">
        <v>778</v>
      </c>
      <c r="D419" s="21" t="s">
        <v>65</v>
      </c>
      <c r="E419" s="1" t="s">
        <v>779</v>
      </c>
      <c r="F419" s="46">
        <v>45840</v>
      </c>
      <c r="G419" s="46">
        <v>45845</v>
      </c>
      <c r="H419" s="21" t="s">
        <v>47</v>
      </c>
    </row>
    <row r="420" spans="1:29">
      <c r="A420" s="21">
        <v>409</v>
      </c>
      <c r="B420" s="1" t="s">
        <v>107</v>
      </c>
      <c r="C420" s="21" t="s">
        <v>780</v>
      </c>
      <c r="D420" s="21" t="s">
        <v>65</v>
      </c>
      <c r="E420" s="1" t="s">
        <v>781</v>
      </c>
      <c r="F420" s="46">
        <v>45840</v>
      </c>
      <c r="G420" s="46">
        <v>45845</v>
      </c>
      <c r="H420" s="21" t="s">
        <v>47</v>
      </c>
    </row>
    <row r="421" spans="1:29">
      <c r="A421" s="21">
        <v>410</v>
      </c>
      <c r="B421" s="1" t="s">
        <v>107</v>
      </c>
      <c r="C421" s="21" t="s">
        <v>782</v>
      </c>
      <c r="D421" s="21" t="s">
        <v>65</v>
      </c>
      <c r="E421" s="1" t="s">
        <v>783</v>
      </c>
      <c r="F421" s="46">
        <v>45840</v>
      </c>
      <c r="G421" s="46">
        <v>45845</v>
      </c>
      <c r="H421" s="21" t="s">
        <v>47</v>
      </c>
      <c r="I421" s="52">
        <v>23520</v>
      </c>
      <c r="S421" s="46">
        <v>45842</v>
      </c>
      <c r="AC421" s="18" t="s">
        <v>26</v>
      </c>
    </row>
    <row r="422" spans="1:29">
      <c r="A422" s="21">
        <v>411</v>
      </c>
      <c r="B422" s="1" t="s">
        <v>107</v>
      </c>
      <c r="C422" s="21" t="s">
        <v>784</v>
      </c>
      <c r="D422" s="21" t="s">
        <v>65</v>
      </c>
      <c r="E422" s="1" t="s">
        <v>785</v>
      </c>
      <c r="F422" s="46">
        <v>45840</v>
      </c>
      <c r="G422" s="46">
        <v>45845</v>
      </c>
      <c r="H422" s="21" t="s">
        <v>47</v>
      </c>
    </row>
    <row r="423" spans="1:29">
      <c r="A423" s="21">
        <v>412</v>
      </c>
      <c r="B423" s="1" t="s">
        <v>107</v>
      </c>
      <c r="C423" s="47" t="s">
        <v>786</v>
      </c>
      <c r="D423" s="21" t="s">
        <v>65</v>
      </c>
      <c r="E423" s="1" t="s">
        <v>787</v>
      </c>
      <c r="F423" s="46">
        <v>45840</v>
      </c>
      <c r="G423" s="46">
        <v>45845</v>
      </c>
      <c r="H423" s="21" t="s">
        <v>47</v>
      </c>
    </row>
    <row r="424" spans="1:29">
      <c r="A424" s="21">
        <v>413</v>
      </c>
      <c r="B424" s="1" t="s">
        <v>107</v>
      </c>
      <c r="C424" s="21" t="s">
        <v>788</v>
      </c>
      <c r="D424" s="21" t="s">
        <v>65</v>
      </c>
      <c r="E424" s="1" t="s">
        <v>789</v>
      </c>
      <c r="F424" s="46">
        <v>45840</v>
      </c>
      <c r="G424" s="46">
        <v>45845</v>
      </c>
      <c r="H424" s="21" t="s">
        <v>47</v>
      </c>
    </row>
    <row r="425" spans="1:29">
      <c r="A425" s="21">
        <v>414</v>
      </c>
      <c r="B425" s="1" t="s">
        <v>107</v>
      </c>
      <c r="C425" s="21" t="s">
        <v>790</v>
      </c>
      <c r="D425" s="21" t="s">
        <v>65</v>
      </c>
      <c r="E425" s="1" t="s">
        <v>791</v>
      </c>
      <c r="F425" s="46">
        <v>45840</v>
      </c>
      <c r="G425" s="46">
        <v>45845</v>
      </c>
      <c r="H425" s="21" t="s">
        <v>47</v>
      </c>
      <c r="I425" s="52">
        <v>1050</v>
      </c>
      <c r="S425" s="46">
        <v>45845</v>
      </c>
      <c r="AC425" s="18" t="s">
        <v>26</v>
      </c>
    </row>
    <row r="426" spans="1:29">
      <c r="A426" s="21">
        <v>415</v>
      </c>
      <c r="B426" s="1" t="s">
        <v>107</v>
      </c>
      <c r="C426" s="21" t="s">
        <v>792</v>
      </c>
      <c r="D426" s="21" t="s">
        <v>65</v>
      </c>
      <c r="E426" s="1" t="s">
        <v>793</v>
      </c>
      <c r="F426" s="46">
        <v>45840</v>
      </c>
      <c r="G426" s="46">
        <v>45845</v>
      </c>
      <c r="H426" s="21" t="s">
        <v>47</v>
      </c>
    </row>
    <row r="427" spans="1:29">
      <c r="A427" s="21">
        <v>416</v>
      </c>
      <c r="B427" s="1" t="s">
        <v>107</v>
      </c>
      <c r="C427" s="21" t="s">
        <v>794</v>
      </c>
      <c r="D427" s="21" t="s">
        <v>65</v>
      </c>
      <c r="E427" s="1" t="s">
        <v>795</v>
      </c>
      <c r="F427" s="46">
        <v>45840</v>
      </c>
      <c r="G427" s="46">
        <v>45845</v>
      </c>
      <c r="H427" s="21" t="s">
        <v>47</v>
      </c>
    </row>
    <row r="428" spans="1:29">
      <c r="A428" s="21">
        <v>417</v>
      </c>
      <c r="B428" s="1" t="s">
        <v>107</v>
      </c>
      <c r="C428" s="21" t="s">
        <v>796</v>
      </c>
      <c r="D428" s="21" t="s">
        <v>65</v>
      </c>
      <c r="E428" s="1" t="s">
        <v>797</v>
      </c>
      <c r="F428" s="46">
        <v>45840</v>
      </c>
      <c r="G428" s="46">
        <v>45845</v>
      </c>
      <c r="H428" s="21" t="s">
        <v>47</v>
      </c>
    </row>
    <row r="429" spans="1:29">
      <c r="A429" s="21">
        <v>418</v>
      </c>
      <c r="B429" s="1" t="s">
        <v>107</v>
      </c>
      <c r="C429" s="21" t="s">
        <v>798</v>
      </c>
      <c r="D429" s="21" t="s">
        <v>65</v>
      </c>
      <c r="E429" s="1" t="s">
        <v>799</v>
      </c>
      <c r="F429" s="46">
        <v>45840</v>
      </c>
      <c r="G429" s="46">
        <v>45845</v>
      </c>
      <c r="H429" s="21" t="s">
        <v>47</v>
      </c>
    </row>
    <row r="430" spans="1:29">
      <c r="A430" s="21">
        <v>419</v>
      </c>
      <c r="B430" s="1" t="s">
        <v>107</v>
      </c>
      <c r="C430" s="21" t="s">
        <v>800</v>
      </c>
      <c r="D430" s="21" t="s">
        <v>65</v>
      </c>
      <c r="E430" s="1" t="s">
        <v>801</v>
      </c>
      <c r="F430" s="46">
        <v>45840</v>
      </c>
      <c r="G430" s="46">
        <v>45845</v>
      </c>
      <c r="H430" s="21" t="s">
        <v>47</v>
      </c>
    </row>
    <row r="431" spans="1:29">
      <c r="A431" s="21">
        <v>420</v>
      </c>
      <c r="C431" s="21" t="s">
        <v>802</v>
      </c>
      <c r="D431" s="21" t="s">
        <v>180</v>
      </c>
      <c r="E431" s="1" t="s">
        <v>803</v>
      </c>
      <c r="F431" s="46">
        <v>45841</v>
      </c>
      <c r="H431" s="21" t="s">
        <v>47</v>
      </c>
      <c r="I431" s="52">
        <v>650000</v>
      </c>
      <c r="S431" s="46">
        <v>45842</v>
      </c>
      <c r="AC431" s="18" t="s">
        <v>26</v>
      </c>
    </row>
    <row r="432" spans="1:29">
      <c r="A432" s="21">
        <v>421</v>
      </c>
      <c r="B432" s="1" t="s">
        <v>95</v>
      </c>
      <c r="C432" s="21" t="s">
        <v>804</v>
      </c>
      <c r="D432" s="21" t="s">
        <v>180</v>
      </c>
      <c r="E432" s="1" t="s">
        <v>805</v>
      </c>
      <c r="F432" s="46">
        <v>45841</v>
      </c>
      <c r="H432" s="21" t="s">
        <v>47</v>
      </c>
    </row>
    <row r="433" spans="1:29">
      <c r="A433" s="21">
        <v>422</v>
      </c>
      <c r="B433" s="1" t="s">
        <v>95</v>
      </c>
      <c r="C433" s="21" t="s">
        <v>809</v>
      </c>
      <c r="D433" s="21" t="s">
        <v>180</v>
      </c>
      <c r="E433" s="1" t="s">
        <v>808</v>
      </c>
      <c r="F433" s="46">
        <v>45841</v>
      </c>
      <c r="H433" s="21" t="s">
        <v>47</v>
      </c>
    </row>
    <row r="434" spans="1:29">
      <c r="A434" s="21">
        <v>423</v>
      </c>
      <c r="B434" s="1" t="s">
        <v>95</v>
      </c>
      <c r="C434" s="21" t="s">
        <v>811</v>
      </c>
      <c r="D434" s="21" t="s">
        <v>180</v>
      </c>
      <c r="E434" s="1" t="s">
        <v>810</v>
      </c>
      <c r="F434" s="46">
        <v>45843</v>
      </c>
      <c r="H434" s="21" t="s">
        <v>47</v>
      </c>
      <c r="I434" s="52">
        <v>4964.3999999999996</v>
      </c>
      <c r="J434" s="52">
        <v>1638</v>
      </c>
      <c r="S434" s="46">
        <v>45846</v>
      </c>
      <c r="T434" s="46">
        <v>45843</v>
      </c>
      <c r="AC434" s="18" t="s">
        <v>26</v>
      </c>
    </row>
    <row r="435" spans="1:29">
      <c r="A435" s="21">
        <v>424</v>
      </c>
      <c r="B435" s="1" t="s">
        <v>291</v>
      </c>
      <c r="C435" s="21" t="s">
        <v>812</v>
      </c>
      <c r="D435" s="21" t="s">
        <v>180</v>
      </c>
      <c r="E435" s="1" t="s">
        <v>813</v>
      </c>
      <c r="F435" s="46">
        <v>45843</v>
      </c>
      <c r="H435" s="21" t="s">
        <v>47</v>
      </c>
      <c r="I435" s="52">
        <v>8255.7999999999993</v>
      </c>
      <c r="J435" s="52">
        <v>2494.75</v>
      </c>
      <c r="S435" s="46">
        <v>45845</v>
      </c>
      <c r="AC435" s="18" t="s">
        <v>26</v>
      </c>
    </row>
    <row r="436" spans="1:29">
      <c r="A436" s="21">
        <v>425</v>
      </c>
      <c r="B436" s="1" t="s">
        <v>291</v>
      </c>
      <c r="C436" s="21" t="s">
        <v>814</v>
      </c>
      <c r="D436" s="21" t="s">
        <v>180</v>
      </c>
      <c r="E436" s="1" t="s">
        <v>815</v>
      </c>
      <c r="F436" s="46">
        <v>45843</v>
      </c>
      <c r="H436" s="21" t="s">
        <v>47</v>
      </c>
      <c r="I436" s="68">
        <v>16041.758112</v>
      </c>
      <c r="S436" s="46">
        <v>45847</v>
      </c>
      <c r="AC436" s="18" t="s">
        <v>26</v>
      </c>
    </row>
    <row r="437" spans="1:29">
      <c r="A437" s="21">
        <v>426</v>
      </c>
      <c r="B437" s="1" t="s">
        <v>91</v>
      </c>
      <c r="C437" s="21" t="s">
        <v>816</v>
      </c>
      <c r="D437" s="21" t="s">
        <v>180</v>
      </c>
      <c r="E437" s="1" t="s">
        <v>817</v>
      </c>
      <c r="F437" s="46">
        <v>45845</v>
      </c>
      <c r="H437" s="21" t="s">
        <v>47</v>
      </c>
    </row>
    <row r="438" spans="1:29">
      <c r="A438" s="21">
        <v>427</v>
      </c>
      <c r="B438" s="1" t="s">
        <v>91</v>
      </c>
      <c r="C438" s="21" t="s">
        <v>818</v>
      </c>
      <c r="D438" s="21" t="s">
        <v>180</v>
      </c>
      <c r="E438" s="1" t="s">
        <v>819</v>
      </c>
      <c r="F438" s="46">
        <v>45845</v>
      </c>
      <c r="H438" s="21" t="s">
        <v>47</v>
      </c>
    </row>
    <row r="439" spans="1:29">
      <c r="A439" s="21">
        <v>428</v>
      </c>
      <c r="B439" s="1" t="s">
        <v>91</v>
      </c>
      <c r="C439" s="21" t="s">
        <v>820</v>
      </c>
      <c r="D439" s="21" t="s">
        <v>180</v>
      </c>
      <c r="E439" s="1" t="s">
        <v>821</v>
      </c>
      <c r="F439" s="46">
        <v>45845</v>
      </c>
      <c r="H439" s="21" t="s">
        <v>47</v>
      </c>
      <c r="I439" s="52">
        <v>6670.96</v>
      </c>
      <c r="S439" s="46">
        <v>45848</v>
      </c>
      <c r="AC439" s="18" t="s">
        <v>26</v>
      </c>
    </row>
    <row r="440" spans="1:29">
      <c r="A440" s="21">
        <v>429</v>
      </c>
      <c r="B440" s="1" t="s">
        <v>91</v>
      </c>
      <c r="C440" s="21" t="s">
        <v>822</v>
      </c>
      <c r="D440" s="21" t="s">
        <v>180</v>
      </c>
      <c r="E440" s="1" t="s">
        <v>823</v>
      </c>
      <c r="F440" s="46">
        <v>45845</v>
      </c>
      <c r="H440" s="21" t="s">
        <v>47</v>
      </c>
      <c r="I440" s="52">
        <v>7507.5</v>
      </c>
      <c r="J440" s="52">
        <v>7558</v>
      </c>
      <c r="S440" s="46">
        <v>45847</v>
      </c>
      <c r="T440" s="46">
        <v>45846</v>
      </c>
      <c r="AC440" s="18" t="s">
        <v>26</v>
      </c>
    </row>
    <row r="441" spans="1:29">
      <c r="A441" s="21">
        <v>430</v>
      </c>
      <c r="B441" s="1" t="s">
        <v>91</v>
      </c>
      <c r="C441" s="21" t="s">
        <v>826</v>
      </c>
      <c r="D441" s="21" t="s">
        <v>180</v>
      </c>
      <c r="E441" s="1" t="s">
        <v>827</v>
      </c>
      <c r="F441" s="46">
        <v>45846</v>
      </c>
      <c r="H441" s="21" t="s">
        <v>47</v>
      </c>
      <c r="I441" s="52">
        <v>4400</v>
      </c>
      <c r="S441" s="46">
        <v>45848</v>
      </c>
      <c r="AC441" s="18" t="s">
        <v>26</v>
      </c>
    </row>
    <row r="442" spans="1:29">
      <c r="A442" s="21">
        <v>431</v>
      </c>
      <c r="B442" s="1" t="s">
        <v>95</v>
      </c>
      <c r="C442" s="21" t="s">
        <v>824</v>
      </c>
      <c r="D442" s="21" t="s">
        <v>180</v>
      </c>
      <c r="E442" s="1" t="s">
        <v>825</v>
      </c>
      <c r="F442" s="46">
        <v>45846</v>
      </c>
      <c r="H442" s="21" t="s">
        <v>47</v>
      </c>
      <c r="I442" s="52">
        <v>2730</v>
      </c>
      <c r="J442" s="52">
        <v>14500.5</v>
      </c>
      <c r="K442" s="52">
        <v>4473</v>
      </c>
      <c r="L442" s="52">
        <v>294</v>
      </c>
      <c r="M442" s="52">
        <v>20250</v>
      </c>
      <c r="N442" s="52">
        <v>13860</v>
      </c>
      <c r="O442" s="52">
        <v>4777.87</v>
      </c>
      <c r="P442" s="52">
        <v>1674.74</v>
      </c>
      <c r="S442" s="46">
        <v>45852</v>
      </c>
      <c r="T442" s="46">
        <v>45847</v>
      </c>
      <c r="U442" s="46">
        <v>45848</v>
      </c>
      <c r="V442" s="46">
        <v>45847</v>
      </c>
      <c r="W442" s="46">
        <v>45847</v>
      </c>
      <c r="X442" s="46">
        <v>45847</v>
      </c>
      <c r="Y442" s="46">
        <v>45847</v>
      </c>
      <c r="Z442" s="46">
        <v>45859</v>
      </c>
      <c r="AC442" s="18" t="s">
        <v>26</v>
      </c>
    </row>
    <row r="443" spans="1:29">
      <c r="A443" s="21">
        <v>432</v>
      </c>
      <c r="B443" s="1" t="s">
        <v>95</v>
      </c>
      <c r="C443" s="21" t="s">
        <v>828</v>
      </c>
      <c r="D443" s="21" t="s">
        <v>180</v>
      </c>
      <c r="E443" s="1" t="s">
        <v>829</v>
      </c>
      <c r="F443" s="46">
        <v>45846</v>
      </c>
      <c r="H443" s="21" t="s">
        <v>47</v>
      </c>
      <c r="I443" s="52">
        <v>21882.25</v>
      </c>
      <c r="J443" s="52">
        <v>3150</v>
      </c>
      <c r="S443" s="46">
        <v>45849</v>
      </c>
      <c r="T443" s="46">
        <v>45847</v>
      </c>
      <c r="AC443" s="18" t="s">
        <v>26</v>
      </c>
    </row>
    <row r="444" spans="1:29">
      <c r="A444" s="21">
        <v>433</v>
      </c>
      <c r="B444" s="1" t="s">
        <v>95</v>
      </c>
      <c r="C444" s="21" t="s">
        <v>830</v>
      </c>
      <c r="D444" s="21" t="s">
        <v>180</v>
      </c>
      <c r="E444" s="1" t="s">
        <v>831</v>
      </c>
      <c r="F444" s="46">
        <v>45846</v>
      </c>
      <c r="H444" s="21" t="s">
        <v>47</v>
      </c>
      <c r="I444" s="52">
        <v>19140.04</v>
      </c>
      <c r="J444" s="52">
        <v>16661</v>
      </c>
      <c r="S444" s="46">
        <v>45848</v>
      </c>
      <c r="T444" s="46">
        <v>45847</v>
      </c>
      <c r="AC444" s="18" t="s">
        <v>26</v>
      </c>
    </row>
    <row r="445" spans="1:29">
      <c r="A445" s="21">
        <v>434</v>
      </c>
      <c r="B445" s="1" t="s">
        <v>107</v>
      </c>
      <c r="C445" s="21" t="s">
        <v>832</v>
      </c>
      <c r="D445" s="21" t="s">
        <v>65</v>
      </c>
      <c r="E445" s="1" t="s">
        <v>833</v>
      </c>
      <c r="F445" s="46">
        <v>45846</v>
      </c>
      <c r="G445" s="46">
        <v>45851</v>
      </c>
      <c r="H445" s="21" t="s">
        <v>47</v>
      </c>
    </row>
    <row r="446" spans="1:29">
      <c r="A446" s="21">
        <v>435</v>
      </c>
      <c r="B446" s="1" t="s">
        <v>107</v>
      </c>
      <c r="C446" s="21" t="s">
        <v>834</v>
      </c>
      <c r="D446" s="21" t="s">
        <v>65</v>
      </c>
      <c r="E446" s="1" t="s">
        <v>835</v>
      </c>
      <c r="F446" s="46">
        <v>45846</v>
      </c>
      <c r="G446" s="46">
        <v>45851</v>
      </c>
      <c r="H446" s="21" t="s">
        <v>47</v>
      </c>
      <c r="I446" s="52">
        <v>4200</v>
      </c>
      <c r="S446" s="46">
        <v>45849</v>
      </c>
      <c r="AC446" s="18" t="s">
        <v>26</v>
      </c>
    </row>
    <row r="447" spans="1:29">
      <c r="A447" s="21">
        <v>436</v>
      </c>
      <c r="B447" s="1" t="s">
        <v>107</v>
      </c>
      <c r="C447" s="21" t="s">
        <v>836</v>
      </c>
      <c r="D447" s="21" t="s">
        <v>65</v>
      </c>
      <c r="E447" s="1" t="s">
        <v>837</v>
      </c>
      <c r="F447" s="46">
        <v>45846</v>
      </c>
      <c r="G447" s="46">
        <v>45851</v>
      </c>
      <c r="H447" s="21" t="s">
        <v>47</v>
      </c>
      <c r="I447" s="52">
        <v>1390</v>
      </c>
      <c r="S447" s="46">
        <v>45848</v>
      </c>
      <c r="AC447" s="18" t="s">
        <v>26</v>
      </c>
    </row>
    <row r="448" spans="1:29">
      <c r="A448" s="21">
        <v>437</v>
      </c>
      <c r="B448" s="1" t="s">
        <v>107</v>
      </c>
      <c r="C448" s="21" t="s">
        <v>838</v>
      </c>
      <c r="D448" s="21" t="s">
        <v>65</v>
      </c>
      <c r="E448" s="1" t="s">
        <v>839</v>
      </c>
      <c r="F448" s="46">
        <v>45846</v>
      </c>
      <c r="G448" s="46">
        <v>45851</v>
      </c>
      <c r="H448" s="21" t="s">
        <v>47</v>
      </c>
      <c r="I448" s="52">
        <v>117300</v>
      </c>
      <c r="J448" s="52">
        <v>133397.70000000001</v>
      </c>
      <c r="S448" s="46">
        <v>45850</v>
      </c>
      <c r="T448" s="46">
        <v>45848</v>
      </c>
      <c r="AC448" s="18" t="s">
        <v>26</v>
      </c>
    </row>
    <row r="449" spans="1:29">
      <c r="A449" s="21">
        <v>438</v>
      </c>
      <c r="B449" s="1" t="s">
        <v>107</v>
      </c>
      <c r="C449" s="21" t="s">
        <v>840</v>
      </c>
      <c r="D449" s="21" t="s">
        <v>65</v>
      </c>
      <c r="E449" s="1" t="s">
        <v>841</v>
      </c>
      <c r="F449" s="46">
        <v>45846</v>
      </c>
      <c r="G449" s="46">
        <v>45851</v>
      </c>
      <c r="H449" s="21" t="s">
        <v>47</v>
      </c>
      <c r="I449" s="52">
        <v>3036.4</v>
      </c>
      <c r="S449" s="46">
        <v>45848</v>
      </c>
      <c r="AC449" s="18" t="s">
        <v>26</v>
      </c>
    </row>
    <row r="450" spans="1:29">
      <c r="A450" s="21">
        <v>439</v>
      </c>
      <c r="B450" s="1" t="s">
        <v>107</v>
      </c>
      <c r="C450" s="21" t="s">
        <v>842</v>
      </c>
      <c r="D450" s="21" t="s">
        <v>65</v>
      </c>
      <c r="E450" s="1" t="s">
        <v>843</v>
      </c>
      <c r="F450" s="46">
        <v>45846</v>
      </c>
      <c r="G450" s="46">
        <v>45851</v>
      </c>
      <c r="H450" s="21" t="s">
        <v>47</v>
      </c>
    </row>
    <row r="451" spans="1:29">
      <c r="A451" s="21">
        <v>440</v>
      </c>
      <c r="B451" s="1" t="s">
        <v>107</v>
      </c>
      <c r="C451" s="21" t="s">
        <v>844</v>
      </c>
      <c r="D451" s="21" t="s">
        <v>65</v>
      </c>
      <c r="E451" s="1" t="s">
        <v>845</v>
      </c>
      <c r="F451" s="46">
        <v>45846</v>
      </c>
      <c r="G451" s="46">
        <v>45851</v>
      </c>
      <c r="H451" s="21" t="s">
        <v>47</v>
      </c>
      <c r="I451" s="52">
        <v>4998</v>
      </c>
      <c r="S451" s="46">
        <v>45849</v>
      </c>
      <c r="AC451" s="18" t="s">
        <v>26</v>
      </c>
    </row>
    <row r="452" spans="1:29">
      <c r="A452" s="21">
        <v>441</v>
      </c>
      <c r="B452" s="1" t="s">
        <v>107</v>
      </c>
      <c r="C452" s="21" t="s">
        <v>846</v>
      </c>
      <c r="D452" s="21" t="s">
        <v>65</v>
      </c>
      <c r="E452" s="1" t="s">
        <v>847</v>
      </c>
      <c r="F452" s="46">
        <v>45846</v>
      </c>
      <c r="G452" s="46">
        <v>45851</v>
      </c>
      <c r="H452" s="21" t="s">
        <v>47</v>
      </c>
    </row>
    <row r="453" spans="1:29">
      <c r="A453" s="21">
        <v>442</v>
      </c>
      <c r="B453" s="1" t="s">
        <v>107</v>
      </c>
      <c r="C453" s="21" t="s">
        <v>848</v>
      </c>
      <c r="D453" s="21" t="s">
        <v>65</v>
      </c>
      <c r="E453" s="1" t="s">
        <v>849</v>
      </c>
      <c r="F453" s="46">
        <v>45846</v>
      </c>
      <c r="G453" s="46">
        <v>45851</v>
      </c>
      <c r="H453" s="21" t="s">
        <v>47</v>
      </c>
    </row>
    <row r="454" spans="1:29">
      <c r="A454" s="21">
        <v>443</v>
      </c>
      <c r="B454" s="1" t="s">
        <v>95</v>
      </c>
      <c r="C454" s="21" t="s">
        <v>852</v>
      </c>
      <c r="D454" s="21" t="s">
        <v>180</v>
      </c>
      <c r="E454" s="1" t="s">
        <v>853</v>
      </c>
      <c r="F454" s="46">
        <v>45848</v>
      </c>
      <c r="G454" s="46">
        <v>45849</v>
      </c>
      <c r="H454" s="21" t="s">
        <v>47</v>
      </c>
    </row>
    <row r="455" spans="1:29" ht="30">
      <c r="A455" s="21">
        <v>444</v>
      </c>
      <c r="B455" s="1" t="s">
        <v>95</v>
      </c>
      <c r="C455" s="21" t="s">
        <v>850</v>
      </c>
      <c r="D455" s="21" t="s">
        <v>180</v>
      </c>
      <c r="E455" s="64" t="s">
        <v>851</v>
      </c>
      <c r="F455" s="46">
        <v>45848</v>
      </c>
      <c r="G455" s="46">
        <v>45852</v>
      </c>
      <c r="H455" s="21" t="s">
        <v>47</v>
      </c>
      <c r="I455" s="52">
        <v>20563.2</v>
      </c>
      <c r="J455" s="52">
        <v>5308.17</v>
      </c>
      <c r="K455" s="52">
        <v>25297.760000000002</v>
      </c>
      <c r="S455" s="46">
        <v>45848</v>
      </c>
      <c r="T455" s="46">
        <v>45850</v>
      </c>
      <c r="U455" s="46">
        <v>45848</v>
      </c>
      <c r="AC455" s="18" t="s">
        <v>26</v>
      </c>
    </row>
    <row r="456" spans="1:29">
      <c r="A456" s="21">
        <v>445</v>
      </c>
      <c r="B456" s="1" t="s">
        <v>96</v>
      </c>
      <c r="C456" s="21" t="s">
        <v>854</v>
      </c>
      <c r="D456" s="21" t="s">
        <v>55</v>
      </c>
      <c r="E456" s="1" t="s">
        <v>855</v>
      </c>
      <c r="F456" s="46">
        <v>45853</v>
      </c>
      <c r="H456" s="21" t="s">
        <v>47</v>
      </c>
      <c r="I456" s="52">
        <v>1764</v>
      </c>
      <c r="S456" s="46">
        <v>45853</v>
      </c>
      <c r="AC456" s="18" t="s">
        <v>26</v>
      </c>
    </row>
    <row r="457" spans="1:29">
      <c r="A457" s="21">
        <v>446</v>
      </c>
      <c r="B457" s="1" t="s">
        <v>291</v>
      </c>
      <c r="C457" s="21" t="s">
        <v>857</v>
      </c>
      <c r="D457" s="21" t="s">
        <v>180</v>
      </c>
      <c r="E457" s="1" t="s">
        <v>856</v>
      </c>
      <c r="F457" s="46">
        <v>45853</v>
      </c>
      <c r="H457" s="21" t="s">
        <v>47</v>
      </c>
      <c r="I457" s="52">
        <v>2304</v>
      </c>
      <c r="J457" s="52">
        <v>1530</v>
      </c>
      <c r="S457" s="46">
        <v>45853</v>
      </c>
      <c r="T457" s="46">
        <v>45853</v>
      </c>
      <c r="AC457" s="18" t="s">
        <v>26</v>
      </c>
    </row>
    <row r="458" spans="1:29">
      <c r="A458" s="21">
        <v>447</v>
      </c>
      <c r="B458" s="1" t="s">
        <v>95</v>
      </c>
      <c r="C458" s="21" t="s">
        <v>858</v>
      </c>
      <c r="D458" s="21" t="s">
        <v>180</v>
      </c>
      <c r="E458" s="1" t="s">
        <v>859</v>
      </c>
      <c r="F458" s="46">
        <v>45854</v>
      </c>
      <c r="H458" s="21" t="s">
        <v>47</v>
      </c>
    </row>
    <row r="459" spans="1:29">
      <c r="A459" s="21">
        <v>448</v>
      </c>
      <c r="B459" s="1" t="s">
        <v>95</v>
      </c>
      <c r="C459" s="21" t="s">
        <v>860</v>
      </c>
      <c r="D459" s="21" t="s">
        <v>180</v>
      </c>
      <c r="E459" s="1" t="s">
        <v>861</v>
      </c>
      <c r="F459" s="46">
        <v>45854</v>
      </c>
      <c r="H459" s="21" t="s">
        <v>47</v>
      </c>
    </row>
    <row r="460" spans="1:29" ht="30">
      <c r="A460" s="21">
        <v>449</v>
      </c>
      <c r="B460" s="1" t="s">
        <v>94</v>
      </c>
      <c r="C460" s="21" t="s">
        <v>863</v>
      </c>
      <c r="D460" s="21" t="s">
        <v>55</v>
      </c>
      <c r="E460" s="64" t="s">
        <v>862</v>
      </c>
      <c r="F460" s="46">
        <v>45854</v>
      </c>
      <c r="H460" s="21" t="s">
        <v>47</v>
      </c>
      <c r="I460" s="52">
        <v>5361.85</v>
      </c>
      <c r="J460" s="52">
        <v>3727.83</v>
      </c>
      <c r="K460" s="52">
        <v>5355</v>
      </c>
      <c r="S460" s="46">
        <v>45855</v>
      </c>
      <c r="T460" s="46">
        <v>45855</v>
      </c>
      <c r="U460" s="46">
        <v>45855</v>
      </c>
      <c r="AC460" s="18" t="s">
        <v>26</v>
      </c>
    </row>
    <row r="461" spans="1:29" ht="30">
      <c r="A461" s="21">
        <v>450</v>
      </c>
      <c r="B461" s="1" t="s">
        <v>866</v>
      </c>
      <c r="C461" s="21" t="s">
        <v>864</v>
      </c>
      <c r="D461" s="21" t="s">
        <v>55</v>
      </c>
      <c r="E461" s="64" t="s">
        <v>865</v>
      </c>
      <c r="F461" s="46">
        <v>45855</v>
      </c>
      <c r="H461" s="21" t="s">
        <v>47</v>
      </c>
      <c r="I461" s="71"/>
    </row>
    <row r="462" spans="1:29" ht="30">
      <c r="A462" s="21">
        <v>451</v>
      </c>
      <c r="B462" s="1" t="s">
        <v>94</v>
      </c>
      <c r="C462" s="21" t="s">
        <v>867</v>
      </c>
      <c r="D462" s="21" t="s">
        <v>55</v>
      </c>
      <c r="E462" s="64" t="s">
        <v>868</v>
      </c>
      <c r="F462" s="46">
        <v>45856</v>
      </c>
      <c r="H462" s="21" t="s">
        <v>47</v>
      </c>
      <c r="I462" s="52">
        <v>129400</v>
      </c>
      <c r="J462" s="52">
        <v>119542.5</v>
      </c>
      <c r="K462" s="52">
        <v>19550</v>
      </c>
      <c r="L462" s="52">
        <v>47609.1</v>
      </c>
      <c r="S462" s="46">
        <v>45856</v>
      </c>
      <c r="T462" s="46">
        <v>45857</v>
      </c>
      <c r="U462" s="46">
        <v>45859</v>
      </c>
      <c r="V462" s="46">
        <v>45860</v>
      </c>
      <c r="AC462" s="18" t="s">
        <v>26</v>
      </c>
    </row>
    <row r="463" spans="1:29">
      <c r="A463" s="21">
        <v>452</v>
      </c>
      <c r="B463" s="1" t="s">
        <v>95</v>
      </c>
      <c r="C463" s="21" t="s">
        <v>873</v>
      </c>
      <c r="D463" s="21" t="s">
        <v>55</v>
      </c>
      <c r="E463" s="64" t="s">
        <v>874</v>
      </c>
      <c r="F463" s="46">
        <v>45856</v>
      </c>
      <c r="H463" s="21" t="s">
        <v>47</v>
      </c>
      <c r="I463" s="52">
        <v>81503.789999999994</v>
      </c>
      <c r="J463" s="52">
        <v>6781.49</v>
      </c>
      <c r="K463" s="52" t="s">
        <v>879</v>
      </c>
      <c r="S463" s="46">
        <v>45857</v>
      </c>
      <c r="T463" s="46">
        <v>45857</v>
      </c>
      <c r="AC463" s="18" t="s">
        <v>26</v>
      </c>
    </row>
    <row r="464" spans="1:29">
      <c r="A464" s="21">
        <v>453</v>
      </c>
      <c r="B464" s="1" t="s">
        <v>95</v>
      </c>
      <c r="C464" s="21" t="s">
        <v>869</v>
      </c>
      <c r="D464" s="21" t="s">
        <v>55</v>
      </c>
      <c r="E464" s="1" t="s">
        <v>870</v>
      </c>
      <c r="F464" s="46">
        <v>45856</v>
      </c>
      <c r="H464" s="21" t="s">
        <v>47</v>
      </c>
      <c r="I464" s="52">
        <v>6938.4000000000005</v>
      </c>
      <c r="S464" s="46">
        <v>45856</v>
      </c>
      <c r="AC464" s="18" t="s">
        <v>26</v>
      </c>
    </row>
    <row r="465" spans="1:29" ht="30">
      <c r="A465" s="21">
        <v>454</v>
      </c>
      <c r="B465" s="1" t="s">
        <v>31</v>
      </c>
      <c r="C465" s="21" t="s">
        <v>872</v>
      </c>
      <c r="D465" s="21" t="s">
        <v>53</v>
      </c>
      <c r="E465" s="64" t="s">
        <v>871</v>
      </c>
      <c r="F465" s="46">
        <v>45856</v>
      </c>
      <c r="G465" s="46">
        <v>45861</v>
      </c>
      <c r="H465" s="21" t="s">
        <v>47</v>
      </c>
    </row>
    <row r="466" spans="1:29">
      <c r="A466" s="21">
        <v>455</v>
      </c>
      <c r="B466" s="1" t="s">
        <v>95</v>
      </c>
      <c r="C466" s="21" t="s">
        <v>875</v>
      </c>
      <c r="D466" s="21" t="s">
        <v>55</v>
      </c>
      <c r="E466" s="1" t="s">
        <v>876</v>
      </c>
      <c r="F466" s="46">
        <v>45857</v>
      </c>
      <c r="H466" s="21" t="s">
        <v>47</v>
      </c>
      <c r="I466" s="52">
        <v>35100</v>
      </c>
      <c r="J466" s="52">
        <v>2583</v>
      </c>
      <c r="K466" s="52">
        <v>23920</v>
      </c>
      <c r="L466" s="52">
        <v>4139.1000000000004</v>
      </c>
      <c r="M466" s="52">
        <v>24570</v>
      </c>
      <c r="N466" s="52">
        <v>280.48500000000001</v>
      </c>
      <c r="S466" s="46">
        <v>45857</v>
      </c>
      <c r="T466" s="46">
        <v>45857</v>
      </c>
      <c r="U466" s="46">
        <v>45857</v>
      </c>
      <c r="V466" s="46">
        <v>45857</v>
      </c>
      <c r="W466" s="46">
        <v>45859</v>
      </c>
      <c r="X466" s="46">
        <v>45861</v>
      </c>
      <c r="AC466" s="18" t="s">
        <v>26</v>
      </c>
    </row>
    <row r="467" spans="1:29">
      <c r="A467" s="21">
        <v>456</v>
      </c>
      <c r="B467" s="1" t="s">
        <v>95</v>
      </c>
      <c r="C467" s="21" t="s">
        <v>877</v>
      </c>
      <c r="D467" s="21" t="s">
        <v>55</v>
      </c>
      <c r="E467" s="1" t="s">
        <v>878</v>
      </c>
      <c r="F467" s="46">
        <v>45857</v>
      </c>
      <c r="H467" s="21" t="s">
        <v>47</v>
      </c>
      <c r="I467" s="52">
        <v>192.15</v>
      </c>
      <c r="J467" s="52">
        <v>2393.1999999999998</v>
      </c>
      <c r="K467" s="52">
        <v>199.5</v>
      </c>
      <c r="L467" s="52">
        <v>367.5</v>
      </c>
      <c r="S467" s="46">
        <v>45859</v>
      </c>
      <c r="T467" s="46">
        <v>45859</v>
      </c>
      <c r="U467" s="46">
        <v>45861</v>
      </c>
      <c r="V467" s="46">
        <v>45862</v>
      </c>
      <c r="AC467" s="18" t="s">
        <v>26</v>
      </c>
    </row>
    <row r="468" spans="1:29">
      <c r="A468" s="21">
        <v>457</v>
      </c>
      <c r="B468" s="1" t="s">
        <v>91</v>
      </c>
      <c r="C468" s="21" t="s">
        <v>880</v>
      </c>
      <c r="D468" s="21" t="s">
        <v>180</v>
      </c>
      <c r="E468" s="1" t="s">
        <v>827</v>
      </c>
      <c r="F468" s="46">
        <v>45860</v>
      </c>
      <c r="H468" s="21" t="s">
        <v>47</v>
      </c>
      <c r="I468" s="52">
        <v>121660</v>
      </c>
      <c r="S468" s="46">
        <v>45873</v>
      </c>
      <c r="AC468" s="18" t="s">
        <v>26</v>
      </c>
    </row>
    <row r="469" spans="1:29">
      <c r="A469" s="21">
        <v>458</v>
      </c>
      <c r="B469" s="1" t="s">
        <v>107</v>
      </c>
      <c r="C469" s="21" t="s">
        <v>881</v>
      </c>
      <c r="D469" s="21" t="s">
        <v>65</v>
      </c>
      <c r="E469" s="1" t="s">
        <v>884</v>
      </c>
      <c r="F469" s="46">
        <v>45859</v>
      </c>
      <c r="G469" s="46">
        <v>45864</v>
      </c>
      <c r="H469" s="21" t="s">
        <v>47</v>
      </c>
    </row>
    <row r="470" spans="1:29">
      <c r="A470" s="21">
        <v>459</v>
      </c>
      <c r="B470" s="1" t="s">
        <v>107</v>
      </c>
      <c r="C470" s="21" t="s">
        <v>882</v>
      </c>
      <c r="D470" s="21" t="s">
        <v>65</v>
      </c>
      <c r="E470" s="1" t="s">
        <v>885</v>
      </c>
      <c r="F470" s="46">
        <v>45859</v>
      </c>
      <c r="G470" s="46">
        <v>45864</v>
      </c>
      <c r="H470" s="21" t="s">
        <v>47</v>
      </c>
    </row>
    <row r="471" spans="1:29">
      <c r="A471" s="21">
        <v>460</v>
      </c>
      <c r="B471" s="1" t="s">
        <v>107</v>
      </c>
      <c r="C471" s="21" t="s">
        <v>883</v>
      </c>
      <c r="D471" s="21" t="s">
        <v>65</v>
      </c>
      <c r="E471" s="1" t="s">
        <v>886</v>
      </c>
      <c r="F471" s="46">
        <v>45859</v>
      </c>
      <c r="G471" s="46">
        <v>45864</v>
      </c>
      <c r="H471" s="21" t="s">
        <v>47</v>
      </c>
      <c r="I471" s="52">
        <v>180</v>
      </c>
      <c r="S471" s="46">
        <v>45862</v>
      </c>
      <c r="AC471" s="18" t="s">
        <v>26</v>
      </c>
    </row>
    <row r="472" spans="1:29">
      <c r="A472" s="21">
        <v>461</v>
      </c>
      <c r="B472" s="1" t="s">
        <v>95</v>
      </c>
      <c r="C472" s="47" t="s">
        <v>887</v>
      </c>
      <c r="D472" s="21" t="s">
        <v>55</v>
      </c>
      <c r="E472" s="1" t="s">
        <v>888</v>
      </c>
      <c r="F472" s="46">
        <v>45860</v>
      </c>
      <c r="H472" s="21" t="s">
        <v>47</v>
      </c>
    </row>
    <row r="473" spans="1:29">
      <c r="A473" s="21">
        <v>462</v>
      </c>
      <c r="B473" s="1" t="s">
        <v>95</v>
      </c>
      <c r="C473" s="47" t="s">
        <v>900</v>
      </c>
      <c r="D473" s="21" t="s">
        <v>55</v>
      </c>
      <c r="E473" s="1" t="s">
        <v>889</v>
      </c>
      <c r="F473" s="46">
        <v>45861</v>
      </c>
      <c r="H473" s="21" t="s">
        <v>47</v>
      </c>
    </row>
    <row r="474" spans="1:29">
      <c r="A474" s="21">
        <v>463</v>
      </c>
      <c r="B474" s="1" t="s">
        <v>95</v>
      </c>
      <c r="C474" s="47" t="s">
        <v>890</v>
      </c>
      <c r="D474" s="21" t="s">
        <v>55</v>
      </c>
      <c r="E474" s="1" t="s">
        <v>891</v>
      </c>
      <c r="F474" s="46">
        <v>45861</v>
      </c>
      <c r="H474" s="21" t="s">
        <v>47</v>
      </c>
      <c r="I474" s="52">
        <v>93006.9</v>
      </c>
      <c r="S474" s="46">
        <v>45861</v>
      </c>
      <c r="AC474" s="18" t="s">
        <v>26</v>
      </c>
    </row>
    <row r="475" spans="1:29">
      <c r="A475" s="21">
        <v>464</v>
      </c>
      <c r="B475" s="1" t="s">
        <v>95</v>
      </c>
      <c r="C475" s="47" t="s">
        <v>892</v>
      </c>
      <c r="D475" s="21" t="s">
        <v>55</v>
      </c>
      <c r="E475" s="1" t="s">
        <v>893</v>
      </c>
      <c r="F475" s="46">
        <v>45861</v>
      </c>
      <c r="H475" s="21" t="s">
        <v>47</v>
      </c>
      <c r="I475" s="52">
        <v>826.77</v>
      </c>
      <c r="S475" s="46">
        <v>45862</v>
      </c>
      <c r="AC475" s="18" t="s">
        <v>26</v>
      </c>
    </row>
    <row r="476" spans="1:29">
      <c r="A476" s="21">
        <v>465</v>
      </c>
      <c r="B476" s="1" t="s">
        <v>95</v>
      </c>
      <c r="C476" s="47" t="s">
        <v>894</v>
      </c>
      <c r="D476" s="21" t="s">
        <v>55</v>
      </c>
      <c r="E476" s="1" t="s">
        <v>895</v>
      </c>
      <c r="F476" s="46">
        <v>45861</v>
      </c>
      <c r="H476" s="21" t="s">
        <v>47</v>
      </c>
    </row>
    <row r="477" spans="1:29">
      <c r="A477" s="21">
        <v>466</v>
      </c>
      <c r="B477" s="1" t="s">
        <v>95</v>
      </c>
      <c r="C477" s="47" t="s">
        <v>896</v>
      </c>
      <c r="D477" s="21" t="s">
        <v>55</v>
      </c>
      <c r="E477" s="1" t="s">
        <v>897</v>
      </c>
      <c r="F477" s="46">
        <v>45861</v>
      </c>
      <c r="H477" s="21" t="s">
        <v>47</v>
      </c>
      <c r="I477" s="52">
        <v>3887.23</v>
      </c>
      <c r="J477" s="52">
        <v>3412.5</v>
      </c>
      <c r="S477" s="46">
        <v>45861</v>
      </c>
      <c r="T477" s="46">
        <v>45863</v>
      </c>
      <c r="AC477" s="18" t="s">
        <v>26</v>
      </c>
    </row>
    <row r="478" spans="1:29">
      <c r="A478" s="21">
        <v>467</v>
      </c>
      <c r="B478" s="1" t="s">
        <v>95</v>
      </c>
      <c r="C478" s="21" t="s">
        <v>898</v>
      </c>
      <c r="D478" s="21" t="s">
        <v>55</v>
      </c>
      <c r="E478" s="1" t="s">
        <v>899</v>
      </c>
      <c r="F478" s="46">
        <v>45861</v>
      </c>
      <c r="H478" s="21" t="s">
        <v>47</v>
      </c>
    </row>
    <row r="479" spans="1:29">
      <c r="A479" s="21">
        <v>468</v>
      </c>
      <c r="B479" s="1" t="s">
        <v>95</v>
      </c>
      <c r="C479" s="21" t="s">
        <v>901</v>
      </c>
      <c r="D479" s="21" t="s">
        <v>55</v>
      </c>
      <c r="E479" s="1" t="s">
        <v>902</v>
      </c>
      <c r="F479" s="46">
        <v>45862</v>
      </c>
      <c r="H479" s="21" t="s">
        <v>47</v>
      </c>
      <c r="I479" s="52">
        <v>730.82</v>
      </c>
      <c r="S479" s="46">
        <v>45863</v>
      </c>
      <c r="AC479" s="18" t="s">
        <v>26</v>
      </c>
    </row>
    <row r="480" spans="1:29" ht="30">
      <c r="A480" s="21">
        <v>469</v>
      </c>
      <c r="B480" s="1" t="s">
        <v>905</v>
      </c>
      <c r="C480" s="21" t="s">
        <v>903</v>
      </c>
      <c r="D480" s="21" t="s">
        <v>55</v>
      </c>
      <c r="E480" s="64" t="s">
        <v>904</v>
      </c>
      <c r="F480" s="46">
        <v>45862</v>
      </c>
      <c r="H480" s="21" t="s">
        <v>47</v>
      </c>
    </row>
    <row r="481" spans="1:29">
      <c r="A481" s="21">
        <v>470</v>
      </c>
      <c r="B481" s="1" t="s">
        <v>88</v>
      </c>
      <c r="C481" s="21">
        <v>2012503689</v>
      </c>
      <c r="D481" s="21" t="s">
        <v>180</v>
      </c>
      <c r="E481" s="1" t="s">
        <v>906</v>
      </c>
      <c r="F481" s="46">
        <v>45862</v>
      </c>
      <c r="G481" s="46">
        <v>45868</v>
      </c>
      <c r="H481" s="21" t="s">
        <v>47</v>
      </c>
      <c r="I481" s="52">
        <v>13125</v>
      </c>
      <c r="S481" s="46">
        <v>45865</v>
      </c>
      <c r="AC481" s="18" t="s">
        <v>26</v>
      </c>
    </row>
    <row r="482" spans="1:29">
      <c r="A482" s="21">
        <v>471</v>
      </c>
      <c r="B482" s="1" t="s">
        <v>88</v>
      </c>
      <c r="C482" s="21">
        <v>2012503695</v>
      </c>
      <c r="D482" s="21" t="s">
        <v>180</v>
      </c>
      <c r="E482" s="1" t="s">
        <v>907</v>
      </c>
      <c r="F482" s="46">
        <v>45862</v>
      </c>
      <c r="G482" s="46">
        <v>45868</v>
      </c>
      <c r="H482" s="21" t="s">
        <v>47</v>
      </c>
    </row>
    <row r="483" spans="1:29">
      <c r="A483" s="21">
        <v>472</v>
      </c>
      <c r="B483" s="1" t="s">
        <v>88</v>
      </c>
      <c r="C483" s="21">
        <v>2012503699</v>
      </c>
      <c r="D483" s="21" t="s">
        <v>180</v>
      </c>
      <c r="E483" s="1" t="s">
        <v>908</v>
      </c>
      <c r="F483" s="46">
        <v>45862</v>
      </c>
      <c r="G483" s="46">
        <v>45868</v>
      </c>
      <c r="H483" s="21" t="s">
        <v>47</v>
      </c>
    </row>
    <row r="484" spans="1:29">
      <c r="A484" s="21">
        <v>473</v>
      </c>
      <c r="B484" s="1" t="s">
        <v>88</v>
      </c>
      <c r="C484" s="21">
        <v>2012503703</v>
      </c>
      <c r="D484" s="21" t="s">
        <v>180</v>
      </c>
      <c r="E484" s="1" t="s">
        <v>909</v>
      </c>
      <c r="F484" s="46">
        <v>45862</v>
      </c>
      <c r="G484" s="46">
        <v>45868</v>
      </c>
      <c r="H484" s="21" t="s">
        <v>47</v>
      </c>
    </row>
    <row r="485" spans="1:29">
      <c r="A485" s="21">
        <v>474</v>
      </c>
      <c r="B485" s="1" t="s">
        <v>88</v>
      </c>
      <c r="C485" s="21">
        <v>2012503728</v>
      </c>
      <c r="D485" s="21" t="s">
        <v>180</v>
      </c>
      <c r="E485" s="1" t="s">
        <v>910</v>
      </c>
      <c r="F485" s="46">
        <v>45863</v>
      </c>
      <c r="G485" s="46">
        <v>45869</v>
      </c>
      <c r="H485" s="21" t="s">
        <v>47</v>
      </c>
      <c r="I485" s="52">
        <v>4236</v>
      </c>
      <c r="S485" s="46">
        <v>45866</v>
      </c>
      <c r="AC485" s="18" t="s">
        <v>26</v>
      </c>
    </row>
    <row r="486" spans="1:29">
      <c r="A486" s="21">
        <v>475</v>
      </c>
      <c r="B486" s="1" t="s">
        <v>88</v>
      </c>
      <c r="C486" s="21">
        <v>2012503742</v>
      </c>
      <c r="D486" s="21" t="s">
        <v>180</v>
      </c>
      <c r="E486" s="1" t="s">
        <v>911</v>
      </c>
      <c r="F486" s="46">
        <v>45863</v>
      </c>
      <c r="G486" s="46">
        <v>45869</v>
      </c>
      <c r="H486" s="21" t="s">
        <v>47</v>
      </c>
      <c r="I486" s="52">
        <v>1827</v>
      </c>
      <c r="J486" s="52">
        <v>1827</v>
      </c>
      <c r="K486" s="52">
        <v>2520</v>
      </c>
      <c r="S486" s="46">
        <v>45867</v>
      </c>
      <c r="T486" s="46">
        <v>45868</v>
      </c>
      <c r="U486" s="46">
        <v>45866</v>
      </c>
      <c r="AC486" s="18" t="s">
        <v>26</v>
      </c>
    </row>
    <row r="487" spans="1:29">
      <c r="A487" s="21">
        <v>476</v>
      </c>
      <c r="B487" s="1" t="s">
        <v>88</v>
      </c>
      <c r="C487" s="66">
        <v>2012503746</v>
      </c>
      <c r="D487" s="21" t="s">
        <v>180</v>
      </c>
      <c r="E487" s="1" t="s">
        <v>912</v>
      </c>
      <c r="F487" s="46">
        <v>45863</v>
      </c>
      <c r="G487" s="46">
        <v>45869</v>
      </c>
      <c r="H487" s="21" t="s">
        <v>47</v>
      </c>
    </row>
    <row r="488" spans="1:29">
      <c r="A488" s="21">
        <v>477</v>
      </c>
      <c r="B488" s="1" t="s">
        <v>88</v>
      </c>
      <c r="C488" s="21">
        <v>2012503732</v>
      </c>
      <c r="D488" s="21" t="s">
        <v>180</v>
      </c>
      <c r="E488" s="1" t="s">
        <v>913</v>
      </c>
      <c r="F488" s="46">
        <v>45863</v>
      </c>
      <c r="G488" s="46">
        <v>45869</v>
      </c>
      <c r="H488" s="21" t="s">
        <v>47</v>
      </c>
    </row>
    <row r="489" spans="1:29" ht="30">
      <c r="A489" s="21">
        <v>478</v>
      </c>
      <c r="B489" s="1" t="s">
        <v>95</v>
      </c>
      <c r="C489" s="21" t="s">
        <v>914</v>
      </c>
      <c r="D489" s="21" t="s">
        <v>55</v>
      </c>
      <c r="E489" s="64" t="s">
        <v>915</v>
      </c>
      <c r="F489" s="46">
        <v>45863</v>
      </c>
      <c r="H489" s="21" t="s">
        <v>47</v>
      </c>
    </row>
    <row r="490" spans="1:29">
      <c r="A490" s="21">
        <v>479</v>
      </c>
      <c r="B490" s="1" t="s">
        <v>95</v>
      </c>
      <c r="C490" s="21" t="s">
        <v>916</v>
      </c>
      <c r="D490" s="21" t="s">
        <v>55</v>
      </c>
      <c r="E490" s="1" t="s">
        <v>917</v>
      </c>
      <c r="F490" s="46">
        <v>45864</v>
      </c>
      <c r="H490" s="21" t="s">
        <v>47</v>
      </c>
      <c r="I490" s="52">
        <v>8301.2999999999993</v>
      </c>
      <c r="J490" s="52">
        <v>8232</v>
      </c>
      <c r="S490" s="46">
        <v>45866</v>
      </c>
      <c r="T490" s="46">
        <v>45878</v>
      </c>
      <c r="AC490" s="18" t="s">
        <v>26</v>
      </c>
    </row>
    <row r="491" spans="1:29" ht="30">
      <c r="A491" s="21">
        <v>480</v>
      </c>
      <c r="B491" s="1" t="s">
        <v>95</v>
      </c>
      <c r="C491" s="21" t="s">
        <v>919</v>
      </c>
      <c r="D491" s="21" t="s">
        <v>55</v>
      </c>
      <c r="E491" s="64" t="s">
        <v>918</v>
      </c>
      <c r="F491" s="46">
        <v>45864</v>
      </c>
      <c r="H491" s="21" t="s">
        <v>47</v>
      </c>
      <c r="I491" s="52">
        <v>114639</v>
      </c>
      <c r="S491" s="46">
        <v>45869</v>
      </c>
    </row>
    <row r="492" spans="1:29" ht="30">
      <c r="A492" s="21">
        <v>481</v>
      </c>
      <c r="B492" s="1" t="s">
        <v>95</v>
      </c>
      <c r="C492" s="21" t="s">
        <v>921</v>
      </c>
      <c r="D492" s="21" t="s">
        <v>55</v>
      </c>
      <c r="E492" s="64" t="s">
        <v>920</v>
      </c>
      <c r="F492" s="46">
        <v>45864</v>
      </c>
      <c r="H492" s="21" t="s">
        <v>47</v>
      </c>
      <c r="I492" s="52">
        <v>21666</v>
      </c>
      <c r="S492" s="46">
        <v>45868</v>
      </c>
      <c r="AC492" s="18" t="s">
        <v>26</v>
      </c>
    </row>
    <row r="493" spans="1:29">
      <c r="A493" s="21">
        <v>482</v>
      </c>
      <c r="B493" s="1" t="s">
        <v>95</v>
      </c>
      <c r="C493" s="21" t="s">
        <v>922</v>
      </c>
      <c r="D493" s="21" t="s">
        <v>55</v>
      </c>
      <c r="E493" s="1" t="s">
        <v>923</v>
      </c>
      <c r="F493" s="46">
        <v>45864</v>
      </c>
      <c r="H493" s="21" t="s">
        <v>47</v>
      </c>
    </row>
    <row r="494" spans="1:29">
      <c r="A494" s="21">
        <v>483</v>
      </c>
      <c r="B494" s="1" t="s">
        <v>91</v>
      </c>
      <c r="C494" s="21" t="s">
        <v>925</v>
      </c>
      <c r="D494" s="21" t="s">
        <v>180</v>
      </c>
      <c r="E494" s="1" t="s">
        <v>926</v>
      </c>
      <c r="F494" s="46">
        <v>45866</v>
      </c>
      <c r="H494" s="21" t="s">
        <v>47</v>
      </c>
    </row>
    <row r="495" spans="1:29">
      <c r="A495" s="21">
        <v>484</v>
      </c>
      <c r="B495" s="1" t="s">
        <v>91</v>
      </c>
      <c r="C495" s="21" t="s">
        <v>936</v>
      </c>
      <c r="D495" s="21" t="s">
        <v>180</v>
      </c>
      <c r="E495" s="1" t="s">
        <v>924</v>
      </c>
      <c r="F495" s="46">
        <v>45866</v>
      </c>
      <c r="H495" s="21" t="s">
        <v>47</v>
      </c>
      <c r="I495" s="52">
        <v>18585</v>
      </c>
      <c r="J495" s="52">
        <v>12978</v>
      </c>
      <c r="K495" s="52">
        <v>14175</v>
      </c>
      <c r="S495" s="46">
        <v>45867</v>
      </c>
      <c r="T495" s="46">
        <v>45867</v>
      </c>
      <c r="U495" s="46">
        <v>45868</v>
      </c>
      <c r="AC495" s="18" t="s">
        <v>26</v>
      </c>
    </row>
    <row r="496" spans="1:29">
      <c r="A496" s="21">
        <v>485</v>
      </c>
      <c r="B496" s="1" t="s">
        <v>91</v>
      </c>
      <c r="C496" s="21" t="s">
        <v>927</v>
      </c>
      <c r="D496" s="21" t="s">
        <v>180</v>
      </c>
      <c r="E496" s="1" t="s">
        <v>928</v>
      </c>
      <c r="F496" s="46">
        <v>45866</v>
      </c>
      <c r="H496" s="21" t="s">
        <v>47</v>
      </c>
    </row>
    <row r="497" spans="1:29">
      <c r="A497" s="21">
        <v>486</v>
      </c>
      <c r="B497" s="1" t="s">
        <v>95</v>
      </c>
      <c r="C497" s="21" t="s">
        <v>929</v>
      </c>
      <c r="D497" s="21" t="s">
        <v>180</v>
      </c>
      <c r="E497" s="1" t="s">
        <v>930</v>
      </c>
      <c r="F497" s="46">
        <v>45866</v>
      </c>
      <c r="H497" s="21" t="s">
        <v>47</v>
      </c>
    </row>
    <row r="498" spans="1:29">
      <c r="A498" s="21">
        <v>487</v>
      </c>
      <c r="B498" s="1" t="s">
        <v>95</v>
      </c>
      <c r="C498" s="21" t="s">
        <v>931</v>
      </c>
      <c r="D498" s="21" t="s">
        <v>180</v>
      </c>
      <c r="E498" s="1" t="s">
        <v>937</v>
      </c>
      <c r="F498" s="46">
        <v>45866</v>
      </c>
      <c r="H498" s="21" t="s">
        <v>47</v>
      </c>
      <c r="I498" s="52">
        <v>28455</v>
      </c>
      <c r="S498" s="46">
        <v>45867</v>
      </c>
      <c r="AC498" s="18" t="s">
        <v>26</v>
      </c>
    </row>
    <row r="499" spans="1:29">
      <c r="A499" s="21">
        <v>488</v>
      </c>
      <c r="B499" s="1" t="s">
        <v>95</v>
      </c>
      <c r="C499" s="21" t="s">
        <v>932</v>
      </c>
      <c r="D499" s="21" t="s">
        <v>180</v>
      </c>
      <c r="E499" s="1" t="s">
        <v>933</v>
      </c>
      <c r="F499" s="46">
        <v>45866</v>
      </c>
      <c r="H499" s="21" t="s">
        <v>47</v>
      </c>
    </row>
    <row r="500" spans="1:29">
      <c r="A500" s="21">
        <v>489</v>
      </c>
      <c r="B500" s="1" t="s">
        <v>95</v>
      </c>
      <c r="C500" s="21" t="s">
        <v>934</v>
      </c>
      <c r="D500" s="21" t="s">
        <v>180</v>
      </c>
      <c r="E500" s="1" t="s">
        <v>935</v>
      </c>
      <c r="F500" s="46">
        <v>45866</v>
      </c>
      <c r="H500" s="21" t="s">
        <v>47</v>
      </c>
      <c r="I500" s="52">
        <v>1616800</v>
      </c>
      <c r="S500" s="46">
        <v>45870</v>
      </c>
      <c r="AC500" s="18" t="s">
        <v>26</v>
      </c>
    </row>
    <row r="501" spans="1:29">
      <c r="A501" s="21">
        <v>490</v>
      </c>
      <c r="B501" s="1" t="s">
        <v>107</v>
      </c>
      <c r="C501" s="21" t="s">
        <v>938</v>
      </c>
      <c r="D501" s="21" t="s">
        <v>65</v>
      </c>
      <c r="E501" s="1" t="s">
        <v>942</v>
      </c>
      <c r="F501" s="46">
        <v>45867</v>
      </c>
      <c r="G501" s="46">
        <v>45874</v>
      </c>
      <c r="H501" s="21" t="s">
        <v>47</v>
      </c>
      <c r="I501" s="52">
        <v>2275</v>
      </c>
      <c r="J501" s="52">
        <v>1625</v>
      </c>
      <c r="S501" s="46">
        <v>45867</v>
      </c>
      <c r="T501" s="46">
        <v>45868</v>
      </c>
      <c r="AC501" s="18" t="s">
        <v>26</v>
      </c>
    </row>
    <row r="502" spans="1:29">
      <c r="A502" s="21">
        <v>491</v>
      </c>
      <c r="B502" s="1" t="s">
        <v>107</v>
      </c>
      <c r="C502" s="21" t="s">
        <v>939</v>
      </c>
      <c r="D502" s="21" t="s">
        <v>65</v>
      </c>
      <c r="E502" s="1" t="s">
        <v>943</v>
      </c>
      <c r="F502" s="46">
        <v>45867</v>
      </c>
      <c r="G502" s="46">
        <v>45874</v>
      </c>
      <c r="H502" s="21" t="s">
        <v>47</v>
      </c>
      <c r="I502" s="52">
        <v>511</v>
      </c>
      <c r="S502" s="46">
        <v>45869</v>
      </c>
      <c r="AC502" s="18" t="s">
        <v>26</v>
      </c>
    </row>
    <row r="503" spans="1:29">
      <c r="A503" s="21">
        <v>492</v>
      </c>
      <c r="B503" s="1" t="s">
        <v>107</v>
      </c>
      <c r="C503" s="21" t="s">
        <v>940</v>
      </c>
      <c r="D503" s="21" t="s">
        <v>65</v>
      </c>
      <c r="E503" s="1" t="s">
        <v>944</v>
      </c>
      <c r="F503" s="46">
        <v>45867</v>
      </c>
      <c r="G503" s="46">
        <v>45874</v>
      </c>
      <c r="H503" s="21" t="s">
        <v>47</v>
      </c>
      <c r="I503" s="52">
        <v>48754.64</v>
      </c>
      <c r="S503" s="46">
        <v>45867</v>
      </c>
      <c r="AC503" s="18" t="s">
        <v>26</v>
      </c>
    </row>
    <row r="504" spans="1:29">
      <c r="A504" s="21">
        <v>493</v>
      </c>
      <c r="B504" s="1" t="s">
        <v>107</v>
      </c>
      <c r="C504" s="21" t="s">
        <v>941</v>
      </c>
      <c r="D504" s="21" t="s">
        <v>65</v>
      </c>
      <c r="E504" s="1" t="s">
        <v>945</v>
      </c>
      <c r="F504" s="46">
        <v>45867</v>
      </c>
      <c r="G504" s="46">
        <v>45874</v>
      </c>
      <c r="H504" s="21" t="s">
        <v>47</v>
      </c>
    </row>
    <row r="505" spans="1:29">
      <c r="A505" s="21">
        <v>494</v>
      </c>
      <c r="B505" s="1" t="s">
        <v>88</v>
      </c>
      <c r="C505" s="66">
        <v>2012503771</v>
      </c>
      <c r="D505" s="21" t="s">
        <v>41</v>
      </c>
      <c r="E505" s="1" t="s">
        <v>950</v>
      </c>
      <c r="F505" s="46">
        <v>45867</v>
      </c>
      <c r="G505" s="46">
        <v>45873</v>
      </c>
      <c r="H505" s="21" t="s">
        <v>47</v>
      </c>
    </row>
    <row r="506" spans="1:29">
      <c r="A506" s="21">
        <v>495</v>
      </c>
      <c r="B506" s="1" t="s">
        <v>88</v>
      </c>
      <c r="C506" s="47">
        <v>2012503784</v>
      </c>
      <c r="D506" s="21" t="s">
        <v>41</v>
      </c>
      <c r="E506" s="1" t="s">
        <v>951</v>
      </c>
      <c r="F506" s="46">
        <v>45867</v>
      </c>
      <c r="G506" s="46">
        <v>45873</v>
      </c>
      <c r="H506" s="21" t="s">
        <v>47</v>
      </c>
      <c r="I506" s="68">
        <v>26544.110775000001</v>
      </c>
      <c r="S506" s="46">
        <v>45870</v>
      </c>
      <c r="AC506" s="18" t="s">
        <v>26</v>
      </c>
    </row>
    <row r="507" spans="1:29">
      <c r="A507" s="21">
        <v>496</v>
      </c>
      <c r="B507" s="1" t="s">
        <v>88</v>
      </c>
      <c r="C507" s="21">
        <v>2012503790</v>
      </c>
      <c r="D507" s="21" t="s">
        <v>41</v>
      </c>
      <c r="E507" s="1" t="s">
        <v>952</v>
      </c>
      <c r="F507" s="46">
        <v>45867</v>
      </c>
      <c r="G507" s="46">
        <v>45873</v>
      </c>
      <c r="H507" s="21" t="s">
        <v>47</v>
      </c>
      <c r="I507" s="52">
        <v>29610</v>
      </c>
      <c r="S507" s="46">
        <v>45870</v>
      </c>
      <c r="AC507" s="18" t="s">
        <v>26</v>
      </c>
    </row>
    <row r="508" spans="1:29">
      <c r="A508" s="21">
        <v>497</v>
      </c>
      <c r="B508" s="1" t="s">
        <v>88</v>
      </c>
      <c r="C508" s="21">
        <v>2012503793</v>
      </c>
      <c r="D508" s="21" t="s">
        <v>41</v>
      </c>
      <c r="E508" s="1" t="s">
        <v>953</v>
      </c>
      <c r="F508" s="46">
        <v>45867</v>
      </c>
      <c r="G508" s="46">
        <v>45873</v>
      </c>
      <c r="H508" s="21" t="s">
        <v>47</v>
      </c>
    </row>
    <row r="509" spans="1:29">
      <c r="A509" s="21">
        <v>498</v>
      </c>
      <c r="B509" s="1" t="s">
        <v>95</v>
      </c>
      <c r="C509" s="21" t="s">
        <v>948</v>
      </c>
      <c r="D509" s="21" t="s">
        <v>180</v>
      </c>
      <c r="E509" s="1" t="s">
        <v>949</v>
      </c>
      <c r="F509" s="46">
        <v>45868</v>
      </c>
      <c r="H509" s="21" t="s">
        <v>47</v>
      </c>
      <c r="I509" s="52">
        <v>5335.05</v>
      </c>
      <c r="S509" s="46">
        <v>45870</v>
      </c>
      <c r="AC509" s="18" t="s">
        <v>26</v>
      </c>
    </row>
    <row r="510" spans="1:29">
      <c r="A510" s="21">
        <v>499</v>
      </c>
      <c r="C510" s="21" t="s">
        <v>946</v>
      </c>
      <c r="D510" s="21" t="s">
        <v>180</v>
      </c>
      <c r="E510" s="1" t="s">
        <v>947</v>
      </c>
      <c r="F510" s="46">
        <v>45868</v>
      </c>
      <c r="H510" s="21" t="s">
        <v>47</v>
      </c>
      <c r="I510" s="52">
        <v>441.25</v>
      </c>
      <c r="J510" s="52">
        <v>2102.5</v>
      </c>
      <c r="S510" s="46">
        <v>45869</v>
      </c>
      <c r="T510" s="46">
        <v>45869</v>
      </c>
      <c r="AC510" s="18" t="s">
        <v>26</v>
      </c>
    </row>
    <row r="511" spans="1:29">
      <c r="A511" s="21">
        <v>500</v>
      </c>
      <c r="B511" s="1" t="s">
        <v>95</v>
      </c>
      <c r="C511" s="21" t="s">
        <v>954</v>
      </c>
      <c r="D511" s="21" t="s">
        <v>180</v>
      </c>
      <c r="E511" s="1" t="s">
        <v>955</v>
      </c>
      <c r="F511" s="46">
        <v>45873</v>
      </c>
      <c r="G511" s="46">
        <v>45880</v>
      </c>
      <c r="H511" s="21" t="s">
        <v>47</v>
      </c>
      <c r="I511" s="52">
        <v>9623.5400000000009</v>
      </c>
      <c r="S511" s="46">
        <v>45884</v>
      </c>
      <c r="AC511" s="19" t="s">
        <v>27</v>
      </c>
    </row>
    <row r="512" spans="1:29">
      <c r="A512" s="21">
        <v>501</v>
      </c>
      <c r="B512" s="1" t="s">
        <v>95</v>
      </c>
      <c r="C512" s="21" t="s">
        <v>956</v>
      </c>
      <c r="D512" s="21" t="s">
        <v>180</v>
      </c>
      <c r="E512" s="64" t="s">
        <v>957</v>
      </c>
      <c r="F512" s="46">
        <v>45873</v>
      </c>
      <c r="H512" s="21" t="s">
        <v>47</v>
      </c>
      <c r="I512" s="52">
        <f>441+13093.5</f>
        <v>13534.5</v>
      </c>
      <c r="J512" s="52">
        <f>787.5+456.75</f>
        <v>1244.25</v>
      </c>
      <c r="K512" s="52">
        <v>614.25</v>
      </c>
      <c r="L512" s="52">
        <v>8708.7000000000007</v>
      </c>
      <c r="M512" s="52">
        <v>2730</v>
      </c>
      <c r="S512" s="46">
        <v>45874</v>
      </c>
      <c r="T512" s="46">
        <v>45875</v>
      </c>
      <c r="U512" s="46">
        <v>45876</v>
      </c>
      <c r="V512" s="46">
        <v>45875</v>
      </c>
      <c r="W512" s="46">
        <v>45876</v>
      </c>
      <c r="AC512" s="18" t="s">
        <v>26</v>
      </c>
    </row>
    <row r="513" spans="1:29">
      <c r="A513" s="21">
        <v>502</v>
      </c>
      <c r="B513" s="1" t="s">
        <v>107</v>
      </c>
      <c r="C513" s="21" t="s">
        <v>958</v>
      </c>
      <c r="D513" s="21" t="s">
        <v>65</v>
      </c>
      <c r="E513" s="1" t="s">
        <v>962</v>
      </c>
      <c r="F513" s="46">
        <v>45874</v>
      </c>
      <c r="G513" s="46">
        <v>45879</v>
      </c>
      <c r="H513" s="21" t="s">
        <v>47</v>
      </c>
      <c r="I513" s="52">
        <v>8330.2099999999991</v>
      </c>
      <c r="J513" s="52">
        <v>12491.3</v>
      </c>
      <c r="K513" s="52">
        <v>8612.7579999999998</v>
      </c>
      <c r="S513" s="46">
        <v>45874</v>
      </c>
      <c r="T513" s="46">
        <v>45874</v>
      </c>
      <c r="U513" s="46">
        <v>45875</v>
      </c>
      <c r="AC513" s="18" t="s">
        <v>26</v>
      </c>
    </row>
    <row r="514" spans="1:29">
      <c r="A514" s="21">
        <v>503</v>
      </c>
      <c r="B514" s="1" t="s">
        <v>107</v>
      </c>
      <c r="C514" s="21" t="s">
        <v>959</v>
      </c>
      <c r="D514" s="21" t="s">
        <v>65</v>
      </c>
      <c r="E514" s="1" t="s">
        <v>963</v>
      </c>
      <c r="F514" s="46">
        <v>45874</v>
      </c>
      <c r="G514" s="46">
        <v>45879</v>
      </c>
      <c r="H514" s="21" t="s">
        <v>47</v>
      </c>
      <c r="I514" s="52">
        <v>16438.11</v>
      </c>
      <c r="J514" s="52">
        <v>16452.8</v>
      </c>
      <c r="K514" s="52">
        <v>8076.92</v>
      </c>
      <c r="L514" s="72">
        <v>5313</v>
      </c>
      <c r="S514" s="46">
        <v>45874</v>
      </c>
      <c r="T514" s="46">
        <v>45875</v>
      </c>
      <c r="U514" s="46">
        <v>45876</v>
      </c>
      <c r="V514" s="46">
        <v>45883</v>
      </c>
      <c r="AC514" s="18" t="s">
        <v>26</v>
      </c>
    </row>
    <row r="515" spans="1:29">
      <c r="A515" s="21">
        <v>504</v>
      </c>
      <c r="B515" s="1" t="s">
        <v>107</v>
      </c>
      <c r="C515" s="21" t="s">
        <v>960</v>
      </c>
      <c r="D515" s="21" t="s">
        <v>65</v>
      </c>
      <c r="E515" s="1" t="s">
        <v>964</v>
      </c>
      <c r="F515" s="46">
        <v>45874</v>
      </c>
      <c r="G515" s="46">
        <v>45879</v>
      </c>
      <c r="H515" s="21" t="s">
        <v>47</v>
      </c>
    </row>
    <row r="516" spans="1:29">
      <c r="A516" s="21">
        <v>505</v>
      </c>
      <c r="B516" s="1" t="s">
        <v>107</v>
      </c>
      <c r="C516" s="21" t="s">
        <v>961</v>
      </c>
      <c r="D516" s="21" t="s">
        <v>65</v>
      </c>
      <c r="E516" s="1" t="s">
        <v>965</v>
      </c>
      <c r="F516" s="46">
        <v>45874</v>
      </c>
      <c r="G516" s="46">
        <v>45879</v>
      </c>
      <c r="H516" s="21" t="s">
        <v>47</v>
      </c>
      <c r="I516" s="52">
        <v>22739.85</v>
      </c>
      <c r="J516" s="52">
        <v>1795.5</v>
      </c>
      <c r="S516" s="46">
        <v>45876</v>
      </c>
      <c r="T516" s="46">
        <v>45875</v>
      </c>
      <c r="AC516" s="18" t="s">
        <v>26</v>
      </c>
    </row>
    <row r="517" spans="1:29">
      <c r="A517" s="21">
        <v>506</v>
      </c>
      <c r="B517" s="1" t="s">
        <v>95</v>
      </c>
      <c r="C517" s="21" t="s">
        <v>966</v>
      </c>
      <c r="D517" s="21" t="s">
        <v>180</v>
      </c>
      <c r="E517" s="1" t="s">
        <v>967</v>
      </c>
      <c r="F517" s="46">
        <v>45875</v>
      </c>
      <c r="H517" s="21" t="s">
        <v>47</v>
      </c>
      <c r="I517" s="52">
        <v>49951.02</v>
      </c>
      <c r="S517" s="46">
        <v>45888</v>
      </c>
      <c r="AC517" s="18" t="s">
        <v>26</v>
      </c>
    </row>
    <row r="518" spans="1:29">
      <c r="A518" s="21">
        <v>507</v>
      </c>
      <c r="B518" s="1" t="s">
        <v>88</v>
      </c>
      <c r="C518" s="21">
        <v>2012503881</v>
      </c>
      <c r="D518" s="21" t="s">
        <v>41</v>
      </c>
      <c r="E518" s="1" t="s">
        <v>968</v>
      </c>
      <c r="F518" s="46">
        <v>45875</v>
      </c>
      <c r="G518" s="46">
        <v>45880</v>
      </c>
      <c r="H518" s="21" t="s">
        <v>47</v>
      </c>
    </row>
    <row r="519" spans="1:29">
      <c r="A519" s="21">
        <v>508</v>
      </c>
      <c r="B519" s="1" t="s">
        <v>88</v>
      </c>
      <c r="C519" s="21">
        <v>2012503885</v>
      </c>
      <c r="D519" s="21" t="s">
        <v>41</v>
      </c>
      <c r="E519" s="1" t="s">
        <v>969</v>
      </c>
      <c r="F519" s="46">
        <v>45875</v>
      </c>
      <c r="G519" s="46">
        <v>45880</v>
      </c>
      <c r="H519" s="21" t="s">
        <v>47</v>
      </c>
      <c r="I519" s="52">
        <v>4974.8999999999996</v>
      </c>
      <c r="J519" s="52">
        <v>5422</v>
      </c>
      <c r="S519" s="46">
        <v>45876</v>
      </c>
      <c r="T519" s="46">
        <v>45875</v>
      </c>
      <c r="AC519" s="18" t="s">
        <v>26</v>
      </c>
    </row>
    <row r="520" spans="1:29">
      <c r="A520" s="21">
        <v>509</v>
      </c>
      <c r="B520" s="1" t="s">
        <v>88</v>
      </c>
      <c r="C520" s="21">
        <v>2012503888</v>
      </c>
      <c r="D520" s="21" t="s">
        <v>41</v>
      </c>
      <c r="E520" s="1" t="s">
        <v>970</v>
      </c>
      <c r="F520" s="46">
        <v>45875</v>
      </c>
      <c r="G520" s="46">
        <v>45880</v>
      </c>
      <c r="H520" s="21" t="s">
        <v>47</v>
      </c>
    </row>
    <row r="521" spans="1:29">
      <c r="A521" s="21">
        <v>510</v>
      </c>
      <c r="B521" s="1" t="s">
        <v>88</v>
      </c>
      <c r="C521" s="21">
        <v>2012503891</v>
      </c>
      <c r="D521" s="21" t="s">
        <v>41</v>
      </c>
      <c r="E521" s="1" t="s">
        <v>971</v>
      </c>
      <c r="F521" s="46">
        <v>45875</v>
      </c>
      <c r="G521" s="46">
        <v>45881</v>
      </c>
      <c r="H521" s="21" t="s">
        <v>47</v>
      </c>
    </row>
    <row r="522" spans="1:29">
      <c r="A522" s="21">
        <v>511</v>
      </c>
      <c r="B522" s="1" t="s">
        <v>88</v>
      </c>
      <c r="C522" s="21">
        <v>2012503894</v>
      </c>
      <c r="D522" s="21" t="s">
        <v>41</v>
      </c>
      <c r="E522" s="1" t="s">
        <v>972</v>
      </c>
      <c r="F522" s="46">
        <v>45875</v>
      </c>
      <c r="G522" s="46">
        <v>45880</v>
      </c>
      <c r="H522" s="21" t="s">
        <v>47</v>
      </c>
      <c r="I522" s="52">
        <v>1800.93</v>
      </c>
      <c r="S522" s="46">
        <v>45875</v>
      </c>
      <c r="AC522" s="18" t="s">
        <v>26</v>
      </c>
    </row>
    <row r="523" spans="1:29">
      <c r="A523" s="21">
        <v>512</v>
      </c>
      <c r="B523" s="1" t="s">
        <v>95</v>
      </c>
      <c r="C523" s="21" t="s">
        <v>973</v>
      </c>
      <c r="D523" s="21" t="s">
        <v>180</v>
      </c>
      <c r="E523" s="1" t="s">
        <v>974</v>
      </c>
      <c r="F523" s="46">
        <v>45876</v>
      </c>
      <c r="H523" s="21" t="s">
        <v>47</v>
      </c>
      <c r="I523" s="52">
        <v>1275</v>
      </c>
      <c r="J523" s="52">
        <v>2064</v>
      </c>
      <c r="K523" s="52">
        <v>2709</v>
      </c>
      <c r="L523" s="52">
        <v>4497</v>
      </c>
      <c r="S523" s="46">
        <v>45876</v>
      </c>
      <c r="T523" s="46">
        <v>45878</v>
      </c>
      <c r="U523" s="46">
        <v>45887</v>
      </c>
      <c r="V523" s="46">
        <v>45887</v>
      </c>
      <c r="AC523" s="18" t="s">
        <v>26</v>
      </c>
    </row>
    <row r="524" spans="1:29">
      <c r="A524" s="21">
        <v>513</v>
      </c>
      <c r="C524" s="21" t="s">
        <v>975</v>
      </c>
      <c r="D524" s="21" t="s">
        <v>180</v>
      </c>
      <c r="E524" s="1" t="s">
        <v>976</v>
      </c>
      <c r="F524" s="46">
        <v>45876</v>
      </c>
      <c r="H524" s="21" t="s">
        <v>47</v>
      </c>
      <c r="I524" s="52">
        <v>6742</v>
      </c>
      <c r="S524" s="46">
        <v>45876</v>
      </c>
      <c r="AC524" s="18" t="s">
        <v>26</v>
      </c>
    </row>
    <row r="525" spans="1:29">
      <c r="A525" s="21">
        <v>514</v>
      </c>
      <c r="B525" s="1" t="s">
        <v>95</v>
      </c>
      <c r="C525" s="21" t="s">
        <v>977</v>
      </c>
      <c r="D525" s="21" t="s">
        <v>180</v>
      </c>
      <c r="E525" s="1" t="s">
        <v>978</v>
      </c>
      <c r="F525" s="46">
        <v>45876</v>
      </c>
      <c r="H525" s="21" t="s">
        <v>47</v>
      </c>
      <c r="I525" s="52">
        <v>6516.3</v>
      </c>
      <c r="S525" s="46">
        <v>45876</v>
      </c>
      <c r="AC525" s="18" t="s">
        <v>26</v>
      </c>
    </row>
    <row r="526" spans="1:29">
      <c r="A526" s="21">
        <v>515</v>
      </c>
      <c r="B526" s="1" t="s">
        <v>95</v>
      </c>
      <c r="C526" s="66" t="s">
        <v>979</v>
      </c>
      <c r="D526" s="21" t="s">
        <v>180</v>
      </c>
      <c r="E526" s="1" t="s">
        <v>980</v>
      </c>
      <c r="F526" s="46">
        <v>45876</v>
      </c>
      <c r="H526" s="21" t="s">
        <v>47</v>
      </c>
      <c r="I526" s="52">
        <v>273</v>
      </c>
      <c r="J526" s="52">
        <v>1050</v>
      </c>
      <c r="K526" s="52">
        <v>2320</v>
      </c>
      <c r="S526" s="46">
        <v>45877</v>
      </c>
      <c r="T526" s="46">
        <v>45877</v>
      </c>
      <c r="U526" s="46">
        <v>45877</v>
      </c>
      <c r="AC526" s="18" t="s">
        <v>26</v>
      </c>
    </row>
    <row r="527" spans="1:29">
      <c r="A527" s="21">
        <v>516</v>
      </c>
      <c r="B527" s="1" t="s">
        <v>95</v>
      </c>
      <c r="C527" s="21" t="s">
        <v>981</v>
      </c>
      <c r="D527" s="21" t="s">
        <v>180</v>
      </c>
      <c r="E527" s="1" t="s">
        <v>982</v>
      </c>
      <c r="F527" s="46">
        <v>45876</v>
      </c>
      <c r="H527" s="21" t="s">
        <v>47</v>
      </c>
      <c r="I527" s="52">
        <v>10552.5</v>
      </c>
      <c r="S527" s="46">
        <v>45880</v>
      </c>
      <c r="AC527" s="18" t="s">
        <v>26</v>
      </c>
    </row>
    <row r="528" spans="1:29">
      <c r="A528" s="21">
        <v>517</v>
      </c>
      <c r="B528" s="1" t="s">
        <v>95</v>
      </c>
      <c r="C528" s="47" t="s">
        <v>983</v>
      </c>
      <c r="D528" s="21" t="s">
        <v>180</v>
      </c>
      <c r="E528" s="1" t="s">
        <v>984</v>
      </c>
      <c r="F528" s="46">
        <v>45876</v>
      </c>
      <c r="H528" s="21" t="s">
        <v>47</v>
      </c>
      <c r="I528" s="52">
        <v>1834.83</v>
      </c>
      <c r="J528" s="52">
        <v>3450</v>
      </c>
      <c r="K528" s="52">
        <v>3150</v>
      </c>
      <c r="L528" s="52">
        <v>10500</v>
      </c>
      <c r="M528" s="52">
        <v>1577.3</v>
      </c>
      <c r="N528" s="52">
        <v>4000</v>
      </c>
      <c r="S528" s="46">
        <v>45881</v>
      </c>
      <c r="T528" s="46">
        <v>45881</v>
      </c>
      <c r="U528" s="46">
        <v>45881</v>
      </c>
      <c r="V528" s="46">
        <v>45881</v>
      </c>
      <c r="W528" s="46">
        <v>45883</v>
      </c>
      <c r="X528" s="46">
        <v>45884</v>
      </c>
      <c r="Y528" s="46"/>
      <c r="Z528" s="46"/>
      <c r="AA528" s="46"/>
      <c r="AB528" s="46"/>
      <c r="AC528" s="18" t="s">
        <v>26</v>
      </c>
    </row>
    <row r="529" spans="1:29">
      <c r="A529" s="21">
        <v>518</v>
      </c>
      <c r="B529" s="1" t="s">
        <v>95</v>
      </c>
      <c r="C529" s="21" t="s">
        <v>985</v>
      </c>
      <c r="D529" s="21" t="s">
        <v>180</v>
      </c>
      <c r="E529" s="1" t="s">
        <v>986</v>
      </c>
      <c r="F529" s="46">
        <v>45876</v>
      </c>
      <c r="H529" s="21" t="s">
        <v>47</v>
      </c>
      <c r="I529" s="52">
        <v>14340</v>
      </c>
      <c r="S529" s="46">
        <v>45881</v>
      </c>
      <c r="AC529" s="18" t="s">
        <v>26</v>
      </c>
    </row>
    <row r="530" spans="1:29" ht="30">
      <c r="A530" s="21">
        <v>519</v>
      </c>
      <c r="B530" s="1" t="s">
        <v>94</v>
      </c>
      <c r="C530" s="21" t="s">
        <v>987</v>
      </c>
      <c r="D530" s="21" t="s">
        <v>180</v>
      </c>
      <c r="E530" s="64" t="s">
        <v>988</v>
      </c>
      <c r="F530" s="46">
        <v>45880</v>
      </c>
      <c r="G530" s="46">
        <v>45884</v>
      </c>
      <c r="H530" s="21" t="s">
        <v>47</v>
      </c>
      <c r="I530" s="52" t="s">
        <v>1020</v>
      </c>
      <c r="J530" s="52">
        <f>609.24+373.94</f>
        <v>983.18000000000006</v>
      </c>
      <c r="K530" s="52">
        <v>1050</v>
      </c>
      <c r="L530" s="52">
        <v>2089.5</v>
      </c>
      <c r="M530" s="52">
        <v>646</v>
      </c>
      <c r="N530" s="52">
        <v>3703.5</v>
      </c>
      <c r="O530" s="52">
        <v>5648</v>
      </c>
      <c r="P530" s="52">
        <v>361</v>
      </c>
      <c r="Q530" s="52">
        <v>19430.25</v>
      </c>
      <c r="S530" s="46">
        <v>45880</v>
      </c>
      <c r="T530" s="46">
        <v>45881</v>
      </c>
      <c r="U530" s="46">
        <v>45882</v>
      </c>
      <c r="V530" s="46">
        <v>45880</v>
      </c>
      <c r="W530" s="46">
        <v>45880</v>
      </c>
      <c r="X530" s="46">
        <v>45881</v>
      </c>
      <c r="Y530" s="46">
        <v>45881</v>
      </c>
      <c r="Z530" s="46">
        <v>45880</v>
      </c>
      <c r="AA530" s="46">
        <v>45883</v>
      </c>
      <c r="AC530" s="18" t="s">
        <v>26</v>
      </c>
    </row>
    <row r="531" spans="1:29">
      <c r="A531" s="21">
        <v>520</v>
      </c>
      <c r="B531" s="1" t="s">
        <v>28</v>
      </c>
      <c r="C531" s="21">
        <v>6000119869</v>
      </c>
      <c r="D531" s="21" t="s">
        <v>53</v>
      </c>
      <c r="E531" s="1" t="s">
        <v>989</v>
      </c>
      <c r="F531" s="46">
        <v>45880</v>
      </c>
      <c r="G531" s="46">
        <v>45887</v>
      </c>
      <c r="H531" s="21" t="s">
        <v>47</v>
      </c>
    </row>
    <row r="532" spans="1:29">
      <c r="A532" s="21">
        <v>521</v>
      </c>
      <c r="B532" s="1" t="s">
        <v>28</v>
      </c>
      <c r="C532" s="21">
        <v>6000119964</v>
      </c>
      <c r="D532" s="21" t="s">
        <v>53</v>
      </c>
      <c r="E532" s="1" t="s">
        <v>990</v>
      </c>
      <c r="F532" s="46">
        <v>45880</v>
      </c>
      <c r="G532" s="46">
        <v>45889</v>
      </c>
      <c r="H532" s="21" t="s">
        <v>47</v>
      </c>
    </row>
    <row r="533" spans="1:29">
      <c r="A533" s="21">
        <v>522</v>
      </c>
      <c r="B533" s="1" t="s">
        <v>107</v>
      </c>
      <c r="C533" s="21" t="s">
        <v>994</v>
      </c>
      <c r="D533" s="21" t="s">
        <v>65</v>
      </c>
      <c r="E533" s="1" t="s">
        <v>997</v>
      </c>
      <c r="F533" s="46">
        <v>45880</v>
      </c>
      <c r="G533" s="46">
        <v>45886</v>
      </c>
      <c r="H533" s="21" t="s">
        <v>47</v>
      </c>
      <c r="I533" s="52">
        <v>2312.1</v>
      </c>
      <c r="J533" s="52">
        <v>1417.5</v>
      </c>
      <c r="S533" s="46">
        <v>45882</v>
      </c>
      <c r="T533" s="46">
        <v>45883</v>
      </c>
      <c r="AC533" s="18" t="s">
        <v>26</v>
      </c>
    </row>
    <row r="534" spans="1:29">
      <c r="A534" s="21">
        <v>523</v>
      </c>
      <c r="B534" s="1" t="s">
        <v>107</v>
      </c>
      <c r="C534" s="21" t="s">
        <v>995</v>
      </c>
      <c r="D534" s="21" t="s">
        <v>65</v>
      </c>
      <c r="E534" s="1" t="s">
        <v>998</v>
      </c>
      <c r="F534" s="46">
        <v>45880</v>
      </c>
      <c r="G534" s="46">
        <v>45886</v>
      </c>
      <c r="H534" s="21" t="s">
        <v>47</v>
      </c>
    </row>
    <row r="535" spans="1:29">
      <c r="A535" s="21">
        <v>524</v>
      </c>
      <c r="B535" s="1" t="s">
        <v>107</v>
      </c>
      <c r="C535" s="21" t="s">
        <v>996</v>
      </c>
      <c r="D535" s="21" t="s">
        <v>65</v>
      </c>
      <c r="E535" s="1" t="s">
        <v>999</v>
      </c>
      <c r="F535" s="46">
        <v>45880</v>
      </c>
      <c r="G535" s="46">
        <v>45886</v>
      </c>
      <c r="H535" s="21" t="s">
        <v>47</v>
      </c>
    </row>
    <row r="536" spans="1:29" ht="30">
      <c r="A536" s="21">
        <v>525</v>
      </c>
      <c r="B536" s="1" t="s">
        <v>993</v>
      </c>
      <c r="C536" s="21" t="s">
        <v>991</v>
      </c>
      <c r="D536" s="21" t="s">
        <v>180</v>
      </c>
      <c r="E536" s="64" t="s">
        <v>992</v>
      </c>
      <c r="F536" s="46">
        <v>45881</v>
      </c>
      <c r="H536" s="21" t="s">
        <v>47</v>
      </c>
    </row>
    <row r="537" spans="1:29">
      <c r="A537" s="21">
        <v>526</v>
      </c>
      <c r="B537" s="1" t="s">
        <v>88</v>
      </c>
      <c r="C537" s="47">
        <v>2012503965</v>
      </c>
      <c r="D537" s="21" t="s">
        <v>41</v>
      </c>
      <c r="E537" s="1" t="s">
        <v>1000</v>
      </c>
      <c r="F537" s="46">
        <v>45882</v>
      </c>
      <c r="G537" s="46">
        <v>45888</v>
      </c>
      <c r="H537" s="21" t="s">
        <v>47</v>
      </c>
    </row>
    <row r="538" spans="1:29">
      <c r="A538" s="21">
        <v>527</v>
      </c>
      <c r="B538" s="1" t="s">
        <v>88</v>
      </c>
      <c r="C538" s="47">
        <v>2012503968</v>
      </c>
      <c r="D538" s="21" t="s">
        <v>41</v>
      </c>
      <c r="E538" s="1" t="s">
        <v>1001</v>
      </c>
      <c r="F538" s="46">
        <v>45882</v>
      </c>
      <c r="G538" s="46">
        <v>45888</v>
      </c>
      <c r="H538" s="21" t="s">
        <v>47</v>
      </c>
      <c r="I538" s="52">
        <v>24470.880000000001</v>
      </c>
      <c r="J538" s="52">
        <v>5120</v>
      </c>
      <c r="K538" s="52">
        <v>7782.6</v>
      </c>
      <c r="S538" s="46">
        <v>45883</v>
      </c>
      <c r="T538" s="46">
        <v>45883</v>
      </c>
      <c r="U538" s="46">
        <v>45883</v>
      </c>
      <c r="AC538" s="18" t="s">
        <v>26</v>
      </c>
    </row>
    <row r="539" spans="1:29">
      <c r="A539" s="21">
        <v>528</v>
      </c>
      <c r="B539" s="1" t="s">
        <v>88</v>
      </c>
      <c r="C539" s="47">
        <v>2012503971</v>
      </c>
      <c r="D539" s="21" t="s">
        <v>41</v>
      </c>
      <c r="E539" s="1" t="s">
        <v>1002</v>
      </c>
      <c r="F539" s="46">
        <v>45882</v>
      </c>
      <c r="G539" s="46">
        <v>45888</v>
      </c>
      <c r="H539" s="21" t="s">
        <v>47</v>
      </c>
    </row>
    <row r="540" spans="1:29">
      <c r="A540" s="21">
        <v>529</v>
      </c>
      <c r="B540" s="1" t="s">
        <v>88</v>
      </c>
      <c r="C540" s="47">
        <v>2012503974</v>
      </c>
      <c r="D540" s="21" t="s">
        <v>41</v>
      </c>
      <c r="E540" s="1" t="s">
        <v>1003</v>
      </c>
      <c r="F540" s="46">
        <v>45882</v>
      </c>
      <c r="G540" s="46">
        <v>45888</v>
      </c>
      <c r="H540" s="21" t="s">
        <v>47</v>
      </c>
      <c r="I540" s="52">
        <v>19517.400000000001</v>
      </c>
      <c r="J540" s="52">
        <v>15649.2</v>
      </c>
      <c r="S540" s="46">
        <v>45889</v>
      </c>
      <c r="AC540" s="19" t="s">
        <v>27</v>
      </c>
    </row>
    <row r="541" spans="1:29">
      <c r="A541" s="21">
        <v>530</v>
      </c>
      <c r="B541" s="1" t="s">
        <v>88</v>
      </c>
      <c r="C541" s="47">
        <v>2012503977</v>
      </c>
      <c r="D541" s="21" t="s">
        <v>41</v>
      </c>
      <c r="E541" s="1" t="s">
        <v>1004</v>
      </c>
      <c r="F541" s="46">
        <v>45882</v>
      </c>
      <c r="G541" s="46">
        <v>45888</v>
      </c>
      <c r="H541" s="21" t="s">
        <v>47</v>
      </c>
    </row>
    <row r="542" spans="1:29">
      <c r="A542" s="21">
        <v>531</v>
      </c>
      <c r="B542" s="1" t="s">
        <v>88</v>
      </c>
      <c r="C542" s="47">
        <v>2012503980</v>
      </c>
      <c r="D542" s="21" t="s">
        <v>41</v>
      </c>
      <c r="E542" s="1" t="s">
        <v>1005</v>
      </c>
      <c r="F542" s="46">
        <v>45882</v>
      </c>
      <c r="G542" s="46">
        <v>45888</v>
      </c>
      <c r="H542" s="21" t="s">
        <v>47</v>
      </c>
    </row>
    <row r="543" spans="1:29">
      <c r="A543" s="21">
        <v>532</v>
      </c>
      <c r="B543" s="1" t="s">
        <v>95</v>
      </c>
      <c r="C543" s="21" t="s">
        <v>1006</v>
      </c>
      <c r="D543" s="21" t="s">
        <v>180</v>
      </c>
      <c r="E543" s="1" t="s">
        <v>1007</v>
      </c>
      <c r="F543" s="46">
        <v>45883</v>
      </c>
      <c r="H543" s="21" t="s">
        <v>47</v>
      </c>
      <c r="I543" s="52">
        <v>307900</v>
      </c>
      <c r="S543" s="46">
        <v>45887</v>
      </c>
      <c r="AC543" s="18" t="s">
        <v>26</v>
      </c>
    </row>
    <row r="544" spans="1:29">
      <c r="A544" s="21">
        <v>533</v>
      </c>
      <c r="B544" s="1" t="s">
        <v>1008</v>
      </c>
      <c r="C544" s="21">
        <v>2506011</v>
      </c>
      <c r="D544" s="21" t="s">
        <v>1009</v>
      </c>
      <c r="F544" s="46">
        <v>45885</v>
      </c>
      <c r="G544" s="46">
        <v>45888</v>
      </c>
      <c r="H544" s="21" t="s">
        <v>47</v>
      </c>
    </row>
    <row r="545" spans="1:29">
      <c r="A545" s="21">
        <v>534</v>
      </c>
      <c r="B545" s="1" t="s">
        <v>1014</v>
      </c>
      <c r="C545" s="21">
        <v>2506013</v>
      </c>
      <c r="D545" s="21" t="s">
        <v>1009</v>
      </c>
      <c r="F545" s="46">
        <v>45883</v>
      </c>
      <c r="G545" s="46">
        <v>45890</v>
      </c>
      <c r="H545" s="21" t="s">
        <v>47</v>
      </c>
      <c r="I545" s="52">
        <v>8120</v>
      </c>
      <c r="S545" s="46">
        <v>45889</v>
      </c>
      <c r="AC545" s="18" t="s">
        <v>26</v>
      </c>
    </row>
    <row r="546" spans="1:29" ht="30">
      <c r="A546" s="21">
        <v>535</v>
      </c>
      <c r="B546" s="1" t="s">
        <v>751</v>
      </c>
      <c r="C546" s="21" t="s">
        <v>1010</v>
      </c>
      <c r="D546" s="21" t="s">
        <v>180</v>
      </c>
      <c r="E546" s="64" t="s">
        <v>1011</v>
      </c>
      <c r="F546" s="46">
        <v>45888</v>
      </c>
      <c r="H546" s="21" t="s">
        <v>47</v>
      </c>
    </row>
    <row r="547" spans="1:29">
      <c r="A547" s="21">
        <v>536</v>
      </c>
      <c r="B547" s="1" t="s">
        <v>95</v>
      </c>
      <c r="C547" s="21" t="s">
        <v>1012</v>
      </c>
      <c r="D547" s="21" t="s">
        <v>180</v>
      </c>
      <c r="E547" s="1" t="s">
        <v>1013</v>
      </c>
      <c r="F547" s="46">
        <v>45889</v>
      </c>
      <c r="H547" s="21" t="s">
        <v>47</v>
      </c>
      <c r="I547" s="52">
        <v>15120</v>
      </c>
      <c r="J547" s="52">
        <v>2187.42</v>
      </c>
      <c r="K547" s="52">
        <v>13440</v>
      </c>
      <c r="L547" s="52">
        <v>806.4</v>
      </c>
      <c r="M547" s="52">
        <v>4410</v>
      </c>
      <c r="N547" s="52">
        <v>2081.41</v>
      </c>
      <c r="O547" s="52">
        <v>441</v>
      </c>
      <c r="P547">
        <v>2982</v>
      </c>
      <c r="Q547" s="52">
        <v>2646</v>
      </c>
      <c r="S547" s="46">
        <v>45889</v>
      </c>
      <c r="T547" s="46">
        <v>45889</v>
      </c>
      <c r="U547" s="46">
        <v>45889</v>
      </c>
      <c r="V547" s="46">
        <v>45890</v>
      </c>
      <c r="W547" s="46">
        <v>45890</v>
      </c>
      <c r="X547" s="46">
        <v>45890</v>
      </c>
      <c r="Y547" s="46">
        <v>45890</v>
      </c>
      <c r="Z547" s="46">
        <v>45890</v>
      </c>
      <c r="AA547" s="46">
        <v>45892</v>
      </c>
      <c r="AC547" s="18" t="s">
        <v>26</v>
      </c>
    </row>
    <row r="548" spans="1:29">
      <c r="A548" s="21">
        <v>537</v>
      </c>
      <c r="B548" s="1" t="s">
        <v>88</v>
      </c>
      <c r="C548" s="21">
        <v>2012504109</v>
      </c>
      <c r="D548" s="21" t="s">
        <v>41</v>
      </c>
      <c r="E548" s="1" t="s">
        <v>1015</v>
      </c>
      <c r="F548" s="46">
        <v>45888</v>
      </c>
      <c r="G548" s="46">
        <v>45894</v>
      </c>
      <c r="H548" s="21" t="s">
        <v>47</v>
      </c>
      <c r="I548" s="52">
        <v>6094</v>
      </c>
      <c r="S548" s="46">
        <v>45890</v>
      </c>
      <c r="AC548" s="18" t="s">
        <v>26</v>
      </c>
    </row>
    <row r="549" spans="1:29">
      <c r="A549" s="21">
        <v>538</v>
      </c>
      <c r="B549" s="1" t="s">
        <v>88</v>
      </c>
      <c r="C549" s="21">
        <v>2012504122</v>
      </c>
      <c r="D549" s="21" t="s">
        <v>41</v>
      </c>
      <c r="E549" s="1" t="s">
        <v>1016</v>
      </c>
      <c r="F549" s="46">
        <v>45888</v>
      </c>
      <c r="G549" s="46">
        <v>45894</v>
      </c>
      <c r="H549" s="21" t="s">
        <v>47</v>
      </c>
    </row>
    <row r="550" spans="1:29">
      <c r="A550" s="21">
        <v>539</v>
      </c>
      <c r="B550" s="1" t="s">
        <v>88</v>
      </c>
      <c r="C550" s="21">
        <v>2012504125</v>
      </c>
      <c r="D550" s="21" t="s">
        <v>41</v>
      </c>
      <c r="E550" s="1" t="s">
        <v>1017</v>
      </c>
      <c r="F550" s="46">
        <v>45888</v>
      </c>
      <c r="G550" s="46">
        <v>45894</v>
      </c>
      <c r="H550" s="21" t="s">
        <v>47</v>
      </c>
    </row>
    <row r="551" spans="1:29">
      <c r="A551" s="21">
        <v>540</v>
      </c>
      <c r="B551" s="1" t="s">
        <v>88</v>
      </c>
      <c r="C551" s="21">
        <v>2012504128</v>
      </c>
      <c r="D551" s="21" t="s">
        <v>41</v>
      </c>
      <c r="E551" s="1" t="s">
        <v>1018</v>
      </c>
      <c r="F551" s="46">
        <v>45888</v>
      </c>
      <c r="G551" s="46">
        <v>45894</v>
      </c>
      <c r="H551" s="21" t="s">
        <v>47</v>
      </c>
    </row>
    <row r="552" spans="1:29">
      <c r="A552" s="21">
        <v>541</v>
      </c>
      <c r="B552" s="1" t="s">
        <v>88</v>
      </c>
      <c r="C552" s="21">
        <v>2012504132</v>
      </c>
      <c r="D552" s="21" t="s">
        <v>41</v>
      </c>
      <c r="E552" s="1" t="s">
        <v>1019</v>
      </c>
      <c r="F552" s="46">
        <v>45888</v>
      </c>
      <c r="G552" s="46">
        <v>45894</v>
      </c>
      <c r="H552" s="21" t="s">
        <v>47</v>
      </c>
    </row>
    <row r="553" spans="1:29">
      <c r="A553" s="21">
        <v>542</v>
      </c>
      <c r="C553" s="21" t="s">
        <v>1021</v>
      </c>
      <c r="D553" s="21" t="s">
        <v>180</v>
      </c>
      <c r="E553" s="1" t="s">
        <v>1022</v>
      </c>
      <c r="F553" s="46">
        <v>45891</v>
      </c>
      <c r="H553" s="21" t="s">
        <v>47</v>
      </c>
      <c r="I553" s="52">
        <v>29925</v>
      </c>
      <c r="J553" s="52">
        <v>24500</v>
      </c>
      <c r="S553" s="46">
        <v>45891</v>
      </c>
      <c r="T553" s="46">
        <v>45894</v>
      </c>
      <c r="AC553" s="18" t="s">
        <v>26</v>
      </c>
    </row>
    <row r="554" spans="1:29" ht="30">
      <c r="A554" s="21">
        <v>543</v>
      </c>
      <c r="B554" s="1" t="s">
        <v>1032</v>
      </c>
      <c r="C554" s="21" t="s">
        <v>1040</v>
      </c>
      <c r="D554" s="21" t="s">
        <v>180</v>
      </c>
      <c r="E554" s="64" t="s">
        <v>1031</v>
      </c>
      <c r="F554" s="46">
        <v>45890</v>
      </c>
      <c r="H554" s="21" t="s">
        <v>47</v>
      </c>
      <c r="S554" s="46"/>
      <c r="T554" s="46"/>
      <c r="AC554" s="18"/>
    </row>
    <row r="555" spans="1:29">
      <c r="A555" s="21">
        <v>544</v>
      </c>
      <c r="B555" s="1" t="s">
        <v>95</v>
      </c>
      <c r="C555" s="21" t="s">
        <v>1023</v>
      </c>
      <c r="D555" s="21" t="s">
        <v>180</v>
      </c>
      <c r="E555" s="1" t="s">
        <v>1024</v>
      </c>
      <c r="F555" s="46">
        <v>45894</v>
      </c>
      <c r="H555" s="21" t="s">
        <v>47</v>
      </c>
      <c r="I555" s="52">
        <v>476.25</v>
      </c>
      <c r="J555" s="52">
        <v>2100</v>
      </c>
      <c r="K555" s="52">
        <v>5415.2</v>
      </c>
      <c r="S555" s="46">
        <v>45894</v>
      </c>
      <c r="T555" s="46">
        <v>45894</v>
      </c>
      <c r="U555" s="46">
        <v>45895</v>
      </c>
      <c r="AC555" s="18" t="s">
        <v>26</v>
      </c>
    </row>
    <row r="556" spans="1:29">
      <c r="A556" s="21">
        <v>545</v>
      </c>
      <c r="C556" s="21" t="s">
        <v>1025</v>
      </c>
      <c r="D556" s="21" t="s">
        <v>180</v>
      </c>
      <c r="E556" s="1" t="s">
        <v>1026</v>
      </c>
      <c r="F556" s="46">
        <v>45895</v>
      </c>
      <c r="H556" s="21" t="s">
        <v>47</v>
      </c>
      <c r="I556" s="52">
        <v>240</v>
      </c>
      <c r="S556" s="46">
        <v>45898</v>
      </c>
    </row>
    <row r="557" spans="1:29">
      <c r="A557" s="21">
        <v>546</v>
      </c>
      <c r="B557" s="1" t="s">
        <v>28</v>
      </c>
      <c r="C557" s="21">
        <v>6000121292</v>
      </c>
      <c r="D557" s="21" t="s">
        <v>53</v>
      </c>
      <c r="E557" s="1" t="s">
        <v>1027</v>
      </c>
      <c r="F557" s="46">
        <v>45895</v>
      </c>
      <c r="G557" s="46">
        <v>45898</v>
      </c>
      <c r="H557" s="21" t="s">
        <v>47</v>
      </c>
    </row>
    <row r="558" spans="1:29">
      <c r="A558" s="21">
        <v>547</v>
      </c>
      <c r="B558" s="1" t="s">
        <v>28</v>
      </c>
      <c r="C558" s="21">
        <v>6000120346</v>
      </c>
      <c r="D558" s="21" t="s">
        <v>53</v>
      </c>
      <c r="E558" s="1" t="s">
        <v>1030</v>
      </c>
      <c r="F558" s="46">
        <v>45895</v>
      </c>
      <c r="G558" s="46">
        <v>45898</v>
      </c>
      <c r="H558" s="21" t="s">
        <v>47</v>
      </c>
    </row>
    <row r="559" spans="1:29">
      <c r="A559" s="21">
        <v>548</v>
      </c>
      <c r="B559" s="1" t="s">
        <v>28</v>
      </c>
      <c r="C559" s="21">
        <v>6000121186</v>
      </c>
      <c r="D559" s="21" t="s">
        <v>53</v>
      </c>
      <c r="E559" s="1" t="s">
        <v>1028</v>
      </c>
      <c r="F559" s="46">
        <v>45895</v>
      </c>
      <c r="G559" s="46">
        <v>45900</v>
      </c>
      <c r="H559" s="21" t="s">
        <v>47</v>
      </c>
      <c r="I559" s="52">
        <v>7922.09</v>
      </c>
      <c r="S559" s="46">
        <v>45897</v>
      </c>
      <c r="AC559" s="18" t="s">
        <v>26</v>
      </c>
    </row>
    <row r="560" spans="1:29">
      <c r="A560" s="21">
        <v>549</v>
      </c>
      <c r="B560" s="1" t="s">
        <v>28</v>
      </c>
      <c r="C560" s="21">
        <v>6000121258</v>
      </c>
      <c r="D560" s="21" t="s">
        <v>53</v>
      </c>
      <c r="E560" s="1" t="s">
        <v>1029</v>
      </c>
      <c r="F560" s="46">
        <v>45895</v>
      </c>
      <c r="G560" s="46">
        <v>45900</v>
      </c>
      <c r="H560" s="21" t="s">
        <v>47</v>
      </c>
      <c r="I560" s="52">
        <v>4558.05</v>
      </c>
      <c r="S560" s="46">
        <v>45899</v>
      </c>
      <c r="AC560" s="18" t="s">
        <v>26</v>
      </c>
    </row>
    <row r="561" spans="1:29">
      <c r="A561" s="21">
        <v>550</v>
      </c>
      <c r="B561" s="1" t="s">
        <v>88</v>
      </c>
      <c r="C561" s="21">
        <v>2012504255</v>
      </c>
      <c r="D561" s="21" t="s">
        <v>41</v>
      </c>
      <c r="E561" s="1" t="s">
        <v>1033</v>
      </c>
      <c r="F561" s="46">
        <v>45897</v>
      </c>
      <c r="G561" s="46">
        <v>45902</v>
      </c>
      <c r="H561" s="21" t="s">
        <v>47</v>
      </c>
      <c r="I561" s="52">
        <v>9225</v>
      </c>
      <c r="J561" s="52">
        <v>4167.45</v>
      </c>
      <c r="S561" s="46">
        <v>45898</v>
      </c>
      <c r="T561" s="46">
        <v>45898</v>
      </c>
      <c r="AC561" s="18" t="s">
        <v>26</v>
      </c>
    </row>
    <row r="562" spans="1:29">
      <c r="A562" s="21">
        <v>551</v>
      </c>
      <c r="B562" s="1" t="s">
        <v>88</v>
      </c>
      <c r="C562" s="21">
        <v>2012504258</v>
      </c>
      <c r="D562" s="21" t="s">
        <v>41</v>
      </c>
      <c r="E562" s="1" t="s">
        <v>1034</v>
      </c>
      <c r="F562" s="46">
        <v>45897</v>
      </c>
      <c r="G562" s="46">
        <v>45902</v>
      </c>
      <c r="H562" s="21" t="s">
        <v>47</v>
      </c>
    </row>
    <row r="563" spans="1:29">
      <c r="A563" s="21">
        <v>552</v>
      </c>
      <c r="B563" s="1" t="s">
        <v>88</v>
      </c>
      <c r="C563" s="21">
        <v>2012504261</v>
      </c>
      <c r="D563" s="21" t="s">
        <v>41</v>
      </c>
      <c r="E563" s="1" t="s">
        <v>1035</v>
      </c>
      <c r="F563" s="46">
        <v>45897</v>
      </c>
      <c r="G563" s="46">
        <v>45902</v>
      </c>
      <c r="H563" s="21" t="s">
        <v>47</v>
      </c>
    </row>
    <row r="564" spans="1:29">
      <c r="A564" s="21">
        <v>553</v>
      </c>
      <c r="B564" s="1" t="s">
        <v>88</v>
      </c>
      <c r="C564" s="21">
        <v>2012504264</v>
      </c>
      <c r="D564" s="21" t="s">
        <v>41</v>
      </c>
      <c r="E564" s="1" t="s">
        <v>1036</v>
      </c>
      <c r="F564" s="46">
        <v>45897</v>
      </c>
      <c r="G564" s="46">
        <v>45902</v>
      </c>
      <c r="H564" s="21" t="s">
        <v>47</v>
      </c>
    </row>
    <row r="565" spans="1:29">
      <c r="A565" s="21">
        <v>554</v>
      </c>
      <c r="B565" s="1" t="s">
        <v>88</v>
      </c>
      <c r="C565" s="21">
        <v>2012504267</v>
      </c>
      <c r="D565" s="21" t="s">
        <v>41</v>
      </c>
      <c r="E565" s="1" t="s">
        <v>1037</v>
      </c>
      <c r="F565" s="46">
        <v>45897</v>
      </c>
      <c r="G565" s="46">
        <v>45902</v>
      </c>
      <c r="H565" s="21" t="s">
        <v>47</v>
      </c>
    </row>
    <row r="566" spans="1:29">
      <c r="A566" s="21">
        <v>555</v>
      </c>
      <c r="B566" s="1" t="s">
        <v>88</v>
      </c>
      <c r="C566" s="21">
        <v>2012504272</v>
      </c>
      <c r="D566" s="21" t="s">
        <v>41</v>
      </c>
      <c r="E566" s="1" t="s">
        <v>1038</v>
      </c>
      <c r="F566" s="46">
        <v>45897</v>
      </c>
      <c r="G566" s="46">
        <v>45902</v>
      </c>
      <c r="H566" s="21" t="s">
        <v>47</v>
      </c>
      <c r="I566" s="52">
        <v>1785</v>
      </c>
      <c r="J566" s="52">
        <v>2100</v>
      </c>
      <c r="S566" s="46">
        <v>45899</v>
      </c>
      <c r="T566" s="46">
        <v>45901</v>
      </c>
      <c r="AC566" s="18" t="s">
        <v>26</v>
      </c>
    </row>
    <row r="567" spans="1:29">
      <c r="A567" s="21">
        <v>556</v>
      </c>
      <c r="B567" s="1" t="s">
        <v>88</v>
      </c>
      <c r="C567" s="21">
        <v>2012504275</v>
      </c>
      <c r="D567" s="21" t="s">
        <v>41</v>
      </c>
      <c r="E567" s="1" t="s">
        <v>1039</v>
      </c>
      <c r="F567" s="46">
        <v>45897</v>
      </c>
      <c r="G567" s="46">
        <v>45902</v>
      </c>
      <c r="H567" s="21" t="s">
        <v>47</v>
      </c>
    </row>
    <row r="568" spans="1:29">
      <c r="A568" s="21">
        <v>557</v>
      </c>
      <c r="B568" s="1" t="s">
        <v>1041</v>
      </c>
      <c r="C568" s="21">
        <v>2506019</v>
      </c>
      <c r="D568" s="21" t="s">
        <v>1009</v>
      </c>
      <c r="F568" s="46">
        <v>45897</v>
      </c>
      <c r="H568" s="21" t="s">
        <v>47</v>
      </c>
      <c r="I568" s="52">
        <v>90501.41</v>
      </c>
      <c r="S568" s="46">
        <v>45902</v>
      </c>
      <c r="AC568" s="18" t="s">
        <v>26</v>
      </c>
    </row>
    <row r="569" spans="1:29" ht="30">
      <c r="A569" s="21">
        <v>558</v>
      </c>
      <c r="B569" s="1" t="s">
        <v>291</v>
      </c>
      <c r="C569" s="21" t="s">
        <v>1042</v>
      </c>
      <c r="D569" s="21" t="s">
        <v>180</v>
      </c>
      <c r="E569" s="64" t="s">
        <v>1043</v>
      </c>
      <c r="F569" s="46">
        <v>45902</v>
      </c>
      <c r="H569" s="21" t="s">
        <v>47</v>
      </c>
      <c r="I569" s="52">
        <v>428000.03</v>
      </c>
      <c r="S569" s="46">
        <v>45902</v>
      </c>
      <c r="AC569" s="18" t="s">
        <v>26</v>
      </c>
    </row>
    <row r="570" spans="1:29">
      <c r="A570" s="21">
        <v>559</v>
      </c>
      <c r="B570" s="1" t="s">
        <v>95</v>
      </c>
      <c r="C570" s="21" t="s">
        <v>1044</v>
      </c>
      <c r="D570" s="21" t="s">
        <v>180</v>
      </c>
      <c r="E570" s="1" t="s">
        <v>1045</v>
      </c>
      <c r="F570" s="46">
        <v>45903</v>
      </c>
      <c r="H570" s="21" t="s">
        <v>47</v>
      </c>
      <c r="I570" s="52">
        <v>7030</v>
      </c>
      <c r="J570" s="52">
        <v>58505.91</v>
      </c>
      <c r="K570" s="52">
        <v>10618.72</v>
      </c>
      <c r="S570" s="46">
        <v>45903</v>
      </c>
      <c r="T570" s="46">
        <v>45903</v>
      </c>
      <c r="U570" s="46">
        <v>45908</v>
      </c>
      <c r="AC570" s="18" t="s">
        <v>26</v>
      </c>
    </row>
    <row r="571" spans="1:29">
      <c r="A571" s="21">
        <v>560</v>
      </c>
      <c r="B571" s="1" t="s">
        <v>1047</v>
      </c>
      <c r="C571" s="21" t="s">
        <v>1046</v>
      </c>
      <c r="D571" s="21" t="s">
        <v>180</v>
      </c>
      <c r="E571" s="1">
        <v>1002113690</v>
      </c>
      <c r="F571" s="46">
        <v>45903</v>
      </c>
      <c r="H571" s="21" t="s">
        <v>47</v>
      </c>
    </row>
    <row r="572" spans="1:29">
      <c r="A572" s="21">
        <v>561</v>
      </c>
      <c r="B572" s="1" t="s">
        <v>1047</v>
      </c>
      <c r="C572" s="21" t="s">
        <v>1048</v>
      </c>
      <c r="D572" s="21" t="s">
        <v>180</v>
      </c>
      <c r="E572" s="1">
        <v>1002054765</v>
      </c>
      <c r="F572" s="46">
        <v>45903</v>
      </c>
      <c r="H572" s="21" t="s">
        <v>47</v>
      </c>
    </row>
    <row r="573" spans="1:29" ht="30">
      <c r="A573" s="21">
        <v>562</v>
      </c>
      <c r="B573" s="1" t="s">
        <v>1047</v>
      </c>
      <c r="C573" s="21" t="s">
        <v>1049</v>
      </c>
      <c r="D573" s="21" t="s">
        <v>180</v>
      </c>
      <c r="E573" s="64" t="s">
        <v>1050</v>
      </c>
      <c r="F573" s="46">
        <v>45903</v>
      </c>
      <c r="H573" s="21" t="s">
        <v>47</v>
      </c>
    </row>
    <row r="574" spans="1:29">
      <c r="A574" s="21">
        <v>563</v>
      </c>
      <c r="B574" s="5" t="s">
        <v>28</v>
      </c>
      <c r="C574" s="47">
        <v>6000121848</v>
      </c>
      <c r="D574" s="21" t="s">
        <v>53</v>
      </c>
      <c r="E574" s="1" t="s">
        <v>1058</v>
      </c>
      <c r="F574" s="46">
        <v>45904</v>
      </c>
      <c r="G574" s="46">
        <v>45907</v>
      </c>
      <c r="H574" s="21" t="s">
        <v>47</v>
      </c>
    </row>
    <row r="575" spans="1:29">
      <c r="A575" s="21">
        <v>564</v>
      </c>
      <c r="B575" s="5" t="s">
        <v>28</v>
      </c>
      <c r="C575" s="47">
        <v>6000121956</v>
      </c>
      <c r="D575" s="21" t="s">
        <v>53</v>
      </c>
      <c r="E575" s="1" t="s">
        <v>1055</v>
      </c>
      <c r="F575" s="46">
        <v>45904</v>
      </c>
      <c r="G575" s="46">
        <v>45908</v>
      </c>
      <c r="H575" s="21" t="s">
        <v>47</v>
      </c>
    </row>
    <row r="576" spans="1:29">
      <c r="A576" s="21">
        <v>565</v>
      </c>
      <c r="B576" s="5" t="s">
        <v>28</v>
      </c>
      <c r="C576" s="47">
        <v>6000121764</v>
      </c>
      <c r="D576" s="21" t="s">
        <v>53</v>
      </c>
      <c r="E576" s="1" t="s">
        <v>1056</v>
      </c>
      <c r="F576" s="46">
        <v>45904</v>
      </c>
      <c r="G576" s="46">
        <v>45908</v>
      </c>
      <c r="H576" s="21" t="s">
        <v>47</v>
      </c>
    </row>
    <row r="577" spans="1:29">
      <c r="A577" s="21">
        <v>566</v>
      </c>
      <c r="B577" s="5" t="s">
        <v>28</v>
      </c>
      <c r="C577" s="47">
        <v>6000122051</v>
      </c>
      <c r="D577" s="21" t="s">
        <v>53</v>
      </c>
      <c r="E577" s="1" t="s">
        <v>1057</v>
      </c>
      <c r="F577" s="46">
        <v>45904</v>
      </c>
      <c r="G577" s="46">
        <v>45908</v>
      </c>
      <c r="H577" s="21" t="s">
        <v>47</v>
      </c>
      <c r="I577" s="52">
        <v>135787.18</v>
      </c>
      <c r="S577" s="46">
        <v>45909</v>
      </c>
      <c r="AC577" s="18" t="s">
        <v>26</v>
      </c>
    </row>
    <row r="578" spans="1:29" ht="30">
      <c r="A578" s="21">
        <v>567</v>
      </c>
      <c r="B578" s="5" t="s">
        <v>28</v>
      </c>
      <c r="C578" s="47">
        <v>6000122036</v>
      </c>
      <c r="D578" s="21" t="s">
        <v>53</v>
      </c>
      <c r="E578" s="64" t="s">
        <v>1053</v>
      </c>
      <c r="F578" s="46">
        <v>45904</v>
      </c>
      <c r="G578" s="46">
        <v>45909</v>
      </c>
      <c r="H578" s="21" t="s">
        <v>47</v>
      </c>
      <c r="I578" s="52">
        <v>89076.479999999996</v>
      </c>
      <c r="J578" s="52">
        <v>84000</v>
      </c>
      <c r="S578" s="46">
        <v>45905</v>
      </c>
      <c r="T578" s="46">
        <v>45908</v>
      </c>
      <c r="AC578" s="18" t="s">
        <v>26</v>
      </c>
    </row>
    <row r="579" spans="1:29">
      <c r="A579" s="21">
        <v>568</v>
      </c>
      <c r="B579" s="5" t="s">
        <v>28</v>
      </c>
      <c r="C579" s="47">
        <v>6000121786</v>
      </c>
      <c r="D579" s="21" t="s">
        <v>53</v>
      </c>
      <c r="E579" s="1" t="s">
        <v>1054</v>
      </c>
      <c r="F579" s="46">
        <v>45904</v>
      </c>
      <c r="G579" s="46">
        <v>45909</v>
      </c>
      <c r="H579" s="21" t="s">
        <v>47</v>
      </c>
      <c r="I579" s="52">
        <v>7612.5</v>
      </c>
      <c r="J579" s="52">
        <v>7955</v>
      </c>
      <c r="S579" s="46">
        <v>45906</v>
      </c>
      <c r="T579" s="46">
        <v>45908</v>
      </c>
      <c r="AC579" s="18" t="s">
        <v>26</v>
      </c>
    </row>
    <row r="580" spans="1:29">
      <c r="A580" s="21">
        <v>569</v>
      </c>
      <c r="B580" s="5" t="s">
        <v>28</v>
      </c>
      <c r="C580" s="47"/>
      <c r="D580" s="21" t="s">
        <v>53</v>
      </c>
      <c r="E580" s="1" t="s">
        <v>1052</v>
      </c>
      <c r="F580" s="46">
        <v>45904</v>
      </c>
      <c r="G580" s="46">
        <v>45910</v>
      </c>
      <c r="H580" s="21" t="s">
        <v>47</v>
      </c>
    </row>
    <row r="581" spans="1:29">
      <c r="A581" s="21">
        <v>570</v>
      </c>
      <c r="B581" s="73" t="s">
        <v>28</v>
      </c>
      <c r="C581" s="47">
        <v>6000121854</v>
      </c>
      <c r="D581" s="21" t="s">
        <v>53</v>
      </c>
      <c r="E581" s="74" t="s">
        <v>1051</v>
      </c>
      <c r="F581" s="46">
        <v>45904</v>
      </c>
      <c r="G581" s="46">
        <v>45911</v>
      </c>
      <c r="H581" s="21" t="s">
        <v>47</v>
      </c>
    </row>
    <row r="582" spans="1:29">
      <c r="A582" s="21">
        <v>571</v>
      </c>
      <c r="B582" s="5" t="s">
        <v>88</v>
      </c>
      <c r="C582" s="21">
        <v>2012504355</v>
      </c>
      <c r="D582" s="21" t="s">
        <v>41</v>
      </c>
      <c r="E582" s="1" t="s">
        <v>1059</v>
      </c>
      <c r="F582" s="46">
        <v>45904</v>
      </c>
      <c r="G582" s="46">
        <v>45909</v>
      </c>
      <c r="H582" s="21" t="s">
        <v>47</v>
      </c>
      <c r="I582" s="52">
        <v>2803.5</v>
      </c>
      <c r="J582" s="52">
        <v>3307.5</v>
      </c>
      <c r="S582" s="46">
        <v>45909</v>
      </c>
      <c r="T582" s="46">
        <v>45910</v>
      </c>
      <c r="AC582" s="18" t="s">
        <v>26</v>
      </c>
    </row>
    <row r="583" spans="1:29">
      <c r="A583" s="21">
        <v>572</v>
      </c>
      <c r="B583" s="5" t="s">
        <v>88</v>
      </c>
      <c r="C583" s="21">
        <v>2012504357</v>
      </c>
      <c r="D583" s="21" t="s">
        <v>41</v>
      </c>
      <c r="E583" s="1" t="s">
        <v>1060</v>
      </c>
      <c r="F583" s="46">
        <v>45904</v>
      </c>
      <c r="G583" s="46">
        <v>45910</v>
      </c>
      <c r="H583" s="21" t="s">
        <v>47</v>
      </c>
      <c r="S583" s="46"/>
    </row>
    <row r="584" spans="1:29">
      <c r="A584" s="21">
        <v>573</v>
      </c>
      <c r="B584" s="5" t="s">
        <v>88</v>
      </c>
      <c r="C584" s="21">
        <v>2012504359</v>
      </c>
      <c r="D584" s="21" t="s">
        <v>41</v>
      </c>
      <c r="E584" s="1" t="s">
        <v>1061</v>
      </c>
      <c r="F584" s="46">
        <v>45904</v>
      </c>
      <c r="G584" s="46">
        <v>45910</v>
      </c>
      <c r="H584" s="21" t="s">
        <v>47</v>
      </c>
      <c r="I584" s="52">
        <v>4961</v>
      </c>
      <c r="S584" s="46">
        <v>45908</v>
      </c>
      <c r="AC584" s="18" t="s">
        <v>26</v>
      </c>
    </row>
    <row r="585" spans="1:29">
      <c r="A585" s="21">
        <v>574</v>
      </c>
      <c r="B585" s="5" t="s">
        <v>88</v>
      </c>
      <c r="C585" s="21">
        <v>2012504361</v>
      </c>
      <c r="D585" s="21" t="s">
        <v>41</v>
      </c>
      <c r="E585" s="1" t="s">
        <v>1062</v>
      </c>
      <c r="F585" s="46">
        <v>45904</v>
      </c>
      <c r="G585" s="46">
        <v>45910</v>
      </c>
      <c r="H585" s="21" t="s">
        <v>47</v>
      </c>
    </row>
    <row r="586" spans="1:29">
      <c r="A586" s="21">
        <v>575</v>
      </c>
      <c r="B586" s="5" t="s">
        <v>88</v>
      </c>
      <c r="C586" s="21">
        <v>2012504363</v>
      </c>
      <c r="D586" s="21" t="s">
        <v>41</v>
      </c>
      <c r="E586" s="1" t="s">
        <v>1063</v>
      </c>
      <c r="F586" s="46">
        <v>45904</v>
      </c>
      <c r="G586" s="46">
        <v>45910</v>
      </c>
      <c r="H586" s="21" t="s">
        <v>47</v>
      </c>
    </row>
    <row r="587" spans="1:29">
      <c r="A587" s="21">
        <v>576</v>
      </c>
      <c r="B587" s="5" t="s">
        <v>88</v>
      </c>
      <c r="C587" s="21">
        <v>2012504365</v>
      </c>
      <c r="D587" s="21" t="s">
        <v>41</v>
      </c>
      <c r="E587" s="1" t="s">
        <v>1064</v>
      </c>
      <c r="F587" s="46">
        <v>45904</v>
      </c>
      <c r="G587" s="46">
        <v>45910</v>
      </c>
      <c r="H587" s="21" t="s">
        <v>47</v>
      </c>
    </row>
    <row r="588" spans="1:29">
      <c r="A588" s="21">
        <v>577</v>
      </c>
      <c r="B588" s="5" t="s">
        <v>88</v>
      </c>
      <c r="C588" s="21">
        <v>2012504367</v>
      </c>
      <c r="D588" s="21" t="s">
        <v>41</v>
      </c>
      <c r="E588" s="1" t="s">
        <v>1065</v>
      </c>
      <c r="F588" s="46">
        <v>45904</v>
      </c>
      <c r="G588" s="46">
        <v>45910</v>
      </c>
      <c r="H588" s="21" t="s">
        <v>47</v>
      </c>
      <c r="I588" s="52">
        <v>114660</v>
      </c>
      <c r="J588" s="52">
        <v>30450</v>
      </c>
      <c r="S588" s="46">
        <v>45905</v>
      </c>
      <c r="T588" s="46">
        <v>45908</v>
      </c>
      <c r="AC588" s="18" t="s">
        <v>26</v>
      </c>
    </row>
    <row r="589" spans="1:29">
      <c r="A589" s="21">
        <v>578</v>
      </c>
      <c r="B589" s="5" t="s">
        <v>88</v>
      </c>
      <c r="C589" s="21">
        <v>2012504369</v>
      </c>
      <c r="D589" s="21" t="s">
        <v>41</v>
      </c>
      <c r="E589" s="1" t="s">
        <v>1066</v>
      </c>
      <c r="F589" s="46">
        <v>45904</v>
      </c>
      <c r="G589" s="46">
        <v>45910</v>
      </c>
      <c r="H589" s="21" t="s">
        <v>47</v>
      </c>
    </row>
    <row r="590" spans="1:29">
      <c r="A590" s="21">
        <v>579</v>
      </c>
      <c r="B590" s="5" t="s">
        <v>88</v>
      </c>
      <c r="C590" s="21">
        <v>2012504371</v>
      </c>
      <c r="D590" s="21" t="s">
        <v>41</v>
      </c>
      <c r="E590" s="1" t="s">
        <v>1067</v>
      </c>
      <c r="F590" s="46">
        <v>45904</v>
      </c>
      <c r="G590" s="46">
        <v>45910</v>
      </c>
      <c r="H590" s="21" t="s">
        <v>47</v>
      </c>
    </row>
    <row r="591" spans="1:29">
      <c r="A591" s="21">
        <v>580</v>
      </c>
      <c r="B591" s="5" t="s">
        <v>88</v>
      </c>
      <c r="C591" s="21">
        <v>2012504373</v>
      </c>
      <c r="D591" s="21" t="s">
        <v>41</v>
      </c>
      <c r="E591" s="1" t="s">
        <v>1068</v>
      </c>
      <c r="F591" s="46">
        <v>45904</v>
      </c>
      <c r="G591" s="46">
        <v>45910</v>
      </c>
      <c r="H591" s="21" t="s">
        <v>47</v>
      </c>
    </row>
    <row r="592" spans="1:29">
      <c r="A592" s="21">
        <v>581</v>
      </c>
      <c r="B592" s="5" t="s">
        <v>88</v>
      </c>
      <c r="C592" s="21">
        <v>2012504375</v>
      </c>
      <c r="D592" s="21" t="s">
        <v>41</v>
      </c>
      <c r="E592" s="1" t="s">
        <v>1069</v>
      </c>
      <c r="F592" s="46">
        <v>45904</v>
      </c>
      <c r="G592" s="46">
        <v>45910</v>
      </c>
      <c r="H592" s="21" t="s">
        <v>47</v>
      </c>
    </row>
    <row r="593" spans="1:29">
      <c r="A593" s="21">
        <v>582</v>
      </c>
      <c r="B593" s="5" t="s">
        <v>88</v>
      </c>
      <c r="C593" s="21">
        <v>2012504377</v>
      </c>
      <c r="D593" s="21" t="s">
        <v>41</v>
      </c>
      <c r="E593" s="1" t="s">
        <v>1070</v>
      </c>
      <c r="F593" s="46">
        <v>45904</v>
      </c>
      <c r="G593" s="46">
        <v>45910</v>
      </c>
      <c r="H593" s="21" t="s">
        <v>47</v>
      </c>
    </row>
    <row r="594" spans="1:29">
      <c r="A594" s="21">
        <v>583</v>
      </c>
      <c r="B594" s="5" t="s">
        <v>88</v>
      </c>
      <c r="C594" s="21">
        <v>2012504379</v>
      </c>
      <c r="D594" s="21" t="s">
        <v>41</v>
      </c>
      <c r="E594" s="1" t="s">
        <v>1071</v>
      </c>
      <c r="F594" s="46">
        <v>45904</v>
      </c>
      <c r="G594" s="46">
        <v>45910</v>
      </c>
      <c r="H594" s="21" t="s">
        <v>47</v>
      </c>
      <c r="I594" s="52">
        <v>1543.5</v>
      </c>
      <c r="S594" s="46">
        <v>45908</v>
      </c>
      <c r="AC594" s="18" t="s">
        <v>26</v>
      </c>
    </row>
    <row r="595" spans="1:29">
      <c r="A595" s="21">
        <v>584</v>
      </c>
      <c r="B595" s="1" t="s">
        <v>91</v>
      </c>
      <c r="C595" s="21" t="s">
        <v>1072</v>
      </c>
      <c r="D595" s="21" t="s">
        <v>180</v>
      </c>
      <c r="E595" s="1" t="s">
        <v>1073</v>
      </c>
      <c r="F595" s="46">
        <v>45908</v>
      </c>
      <c r="H595" s="21" t="s">
        <v>47</v>
      </c>
      <c r="I595" s="52">
        <v>2576.6999999999998</v>
      </c>
      <c r="S595" s="46">
        <v>45909</v>
      </c>
      <c r="AC595" s="18" t="s">
        <v>26</v>
      </c>
    </row>
    <row r="596" spans="1:29">
      <c r="A596" s="21">
        <v>585</v>
      </c>
      <c r="B596" s="1" t="s">
        <v>88</v>
      </c>
      <c r="C596" s="21">
        <v>2012504407</v>
      </c>
      <c r="D596" s="21" t="s">
        <v>41</v>
      </c>
      <c r="E596" s="1" t="s">
        <v>1074</v>
      </c>
      <c r="F596" s="46">
        <v>45908</v>
      </c>
      <c r="G596" s="46">
        <v>45912</v>
      </c>
      <c r="H596" s="21" t="s">
        <v>47</v>
      </c>
      <c r="I596" s="52">
        <v>3300</v>
      </c>
      <c r="S596" s="46">
        <v>45908</v>
      </c>
      <c r="AC596" s="18" t="s">
        <v>26</v>
      </c>
    </row>
    <row r="597" spans="1:29">
      <c r="A597" s="21">
        <v>586</v>
      </c>
      <c r="B597" s="1" t="s">
        <v>88</v>
      </c>
      <c r="C597" s="21">
        <v>2012504409</v>
      </c>
      <c r="D597" s="21" t="s">
        <v>41</v>
      </c>
      <c r="E597" s="1" t="s">
        <v>1075</v>
      </c>
      <c r="F597" s="46">
        <v>45908</v>
      </c>
      <c r="G597" s="46">
        <v>45912</v>
      </c>
      <c r="H597" s="21" t="s">
        <v>47</v>
      </c>
      <c r="I597" s="52">
        <v>36.86</v>
      </c>
      <c r="S597" s="46">
        <v>45909</v>
      </c>
      <c r="AC597" s="18" t="s">
        <v>26</v>
      </c>
    </row>
    <row r="598" spans="1:29">
      <c r="A598" s="21">
        <v>587</v>
      </c>
      <c r="B598" s="1" t="s">
        <v>88</v>
      </c>
      <c r="C598" s="21">
        <v>2012504411</v>
      </c>
      <c r="D598" s="21" t="s">
        <v>41</v>
      </c>
      <c r="E598" s="1" t="s">
        <v>1076</v>
      </c>
      <c r="F598" s="46">
        <v>45908</v>
      </c>
      <c r="G598" s="46">
        <v>45912</v>
      </c>
      <c r="H598" s="21" t="s">
        <v>47</v>
      </c>
      <c r="I598" s="52">
        <v>288823.5</v>
      </c>
      <c r="S598" s="46">
        <v>45912</v>
      </c>
      <c r="AC598" s="18" t="s">
        <v>26</v>
      </c>
    </row>
    <row r="599" spans="1:29">
      <c r="A599" s="21">
        <v>588</v>
      </c>
      <c r="B599" s="1" t="s">
        <v>88</v>
      </c>
      <c r="C599" s="21">
        <v>2012504413</v>
      </c>
      <c r="D599" s="21" t="s">
        <v>41</v>
      </c>
      <c r="E599" s="1" t="s">
        <v>1077</v>
      </c>
      <c r="F599" s="46">
        <v>45908</v>
      </c>
      <c r="G599" s="46">
        <v>45912</v>
      </c>
      <c r="H599" s="21" t="s">
        <v>47</v>
      </c>
    </row>
    <row r="600" spans="1:29">
      <c r="A600" s="21">
        <v>589</v>
      </c>
      <c r="B600" s="1" t="s">
        <v>88</v>
      </c>
      <c r="C600" s="21">
        <v>2012504415</v>
      </c>
      <c r="D600" s="21" t="s">
        <v>41</v>
      </c>
      <c r="E600" s="1" t="s">
        <v>1078</v>
      </c>
      <c r="F600" s="46">
        <v>45908</v>
      </c>
      <c r="G600" s="46">
        <v>45912</v>
      </c>
      <c r="H600" s="21" t="s">
        <v>47</v>
      </c>
      <c r="I600" s="52">
        <v>388.5</v>
      </c>
      <c r="S600" s="46">
        <v>45908</v>
      </c>
      <c r="AC600" s="18" t="s">
        <v>26</v>
      </c>
    </row>
    <row r="601" spans="1:29">
      <c r="A601" s="21">
        <v>590</v>
      </c>
      <c r="B601" s="1" t="s">
        <v>88</v>
      </c>
      <c r="C601" s="21">
        <v>2012504400</v>
      </c>
      <c r="D601" s="21" t="s">
        <v>41</v>
      </c>
      <c r="E601" s="1" t="s">
        <v>1079</v>
      </c>
      <c r="F601" s="46">
        <v>45908</v>
      </c>
      <c r="G601" s="46">
        <v>45912</v>
      </c>
      <c r="H601" s="21" t="s">
        <v>47</v>
      </c>
    </row>
    <row r="602" spans="1:29">
      <c r="A602" s="21">
        <v>591</v>
      </c>
      <c r="B602" s="1" t="s">
        <v>88</v>
      </c>
      <c r="C602" s="21">
        <v>2012504398</v>
      </c>
      <c r="D602" s="21" t="s">
        <v>41</v>
      </c>
      <c r="E602" s="1" t="s">
        <v>1080</v>
      </c>
      <c r="F602" s="46">
        <v>45908</v>
      </c>
      <c r="G602" s="46">
        <v>45912</v>
      </c>
      <c r="H602" s="21" t="s">
        <v>47</v>
      </c>
    </row>
    <row r="603" spans="1:29">
      <c r="A603" s="21">
        <v>592</v>
      </c>
      <c r="B603" s="1" t="s">
        <v>88</v>
      </c>
      <c r="C603" s="21">
        <v>2012504429</v>
      </c>
      <c r="D603" s="21" t="s">
        <v>41</v>
      </c>
      <c r="E603" s="1" t="s">
        <v>1081</v>
      </c>
      <c r="F603" s="46">
        <v>45908</v>
      </c>
      <c r="G603" s="46">
        <v>45912</v>
      </c>
      <c r="H603" s="21" t="s">
        <v>47</v>
      </c>
      <c r="I603" s="52">
        <v>63197.09</v>
      </c>
      <c r="S603" s="46">
        <v>45909</v>
      </c>
      <c r="AC603" s="18" t="s">
        <v>26</v>
      </c>
    </row>
    <row r="604" spans="1:29">
      <c r="A604" s="21">
        <v>593</v>
      </c>
      <c r="B604" s="1" t="s">
        <v>1082</v>
      </c>
      <c r="C604" s="21">
        <v>2506021</v>
      </c>
      <c r="D604" s="21" t="s">
        <v>1009</v>
      </c>
      <c r="F604" s="46">
        <v>45910</v>
      </c>
      <c r="H604" s="21" t="s">
        <v>47</v>
      </c>
      <c r="I604" s="52">
        <v>1237.45</v>
      </c>
      <c r="S604" s="46">
        <v>45915</v>
      </c>
      <c r="AC604" s="18" t="s">
        <v>26</v>
      </c>
    </row>
    <row r="605" spans="1:29">
      <c r="A605" s="21">
        <v>594</v>
      </c>
      <c r="B605" s="1" t="s">
        <v>1083</v>
      </c>
      <c r="C605" s="21">
        <v>2506022</v>
      </c>
      <c r="D605" s="21" t="s">
        <v>1009</v>
      </c>
      <c r="F605" s="46">
        <v>45910</v>
      </c>
      <c r="H605" s="21" t="s">
        <v>47</v>
      </c>
    </row>
    <row r="606" spans="1:29">
      <c r="A606" s="21">
        <v>595</v>
      </c>
      <c r="B606" s="1" t="s">
        <v>1084</v>
      </c>
      <c r="C606" s="21">
        <v>2506023</v>
      </c>
      <c r="D606" s="21" t="s">
        <v>1009</v>
      </c>
      <c r="F606" s="46">
        <v>45910</v>
      </c>
      <c r="H606" s="21" t="s">
        <v>47</v>
      </c>
    </row>
    <row r="607" spans="1:29">
      <c r="A607" s="21">
        <v>596</v>
      </c>
      <c r="B607" s="9" t="s">
        <v>28</v>
      </c>
      <c r="C607" s="21">
        <v>6000122165</v>
      </c>
      <c r="D607" s="21" t="s">
        <v>53</v>
      </c>
      <c r="E607" s="75" t="s">
        <v>1099</v>
      </c>
      <c r="F607" s="46">
        <v>45910</v>
      </c>
      <c r="G607" s="77">
        <v>45914</v>
      </c>
      <c r="H607" s="21" t="s">
        <v>47</v>
      </c>
    </row>
    <row r="608" spans="1:29">
      <c r="A608" s="21">
        <v>597</v>
      </c>
      <c r="B608" s="9" t="s">
        <v>28</v>
      </c>
      <c r="C608" s="21">
        <v>6000122805</v>
      </c>
      <c r="D608" s="21" t="s">
        <v>53</v>
      </c>
      <c r="E608" s="75" t="s">
        <v>1100</v>
      </c>
      <c r="F608" s="46">
        <v>45910</v>
      </c>
      <c r="G608" s="77">
        <v>45914</v>
      </c>
      <c r="H608" s="21" t="s">
        <v>47</v>
      </c>
    </row>
    <row r="609" spans="1:29">
      <c r="A609" s="21">
        <v>598</v>
      </c>
      <c r="B609" s="9" t="s">
        <v>28</v>
      </c>
      <c r="C609" s="21">
        <v>6000122380</v>
      </c>
      <c r="D609" s="21" t="s">
        <v>53</v>
      </c>
      <c r="E609" s="75" t="s">
        <v>1101</v>
      </c>
      <c r="F609" s="46">
        <v>45910</v>
      </c>
      <c r="G609" s="77">
        <v>45914</v>
      </c>
      <c r="H609" s="21" t="s">
        <v>47</v>
      </c>
    </row>
    <row r="610" spans="1:29" ht="25.5">
      <c r="A610" s="21">
        <v>599</v>
      </c>
      <c r="B610" s="9" t="s">
        <v>28</v>
      </c>
      <c r="C610" s="21">
        <v>6000122819</v>
      </c>
      <c r="D610" s="21" t="s">
        <v>53</v>
      </c>
      <c r="E610" s="75" t="s">
        <v>1096</v>
      </c>
      <c r="F610" s="46">
        <v>45910</v>
      </c>
      <c r="G610" s="77">
        <v>45915</v>
      </c>
      <c r="H610" s="21" t="s">
        <v>47</v>
      </c>
    </row>
    <row r="611" spans="1:29" ht="38.25">
      <c r="A611" s="21">
        <v>600</v>
      </c>
      <c r="B611" s="9" t="s">
        <v>28</v>
      </c>
      <c r="C611" s="21">
        <v>6000122451</v>
      </c>
      <c r="D611" s="21" t="s">
        <v>53</v>
      </c>
      <c r="E611" s="75" t="s">
        <v>1097</v>
      </c>
      <c r="F611" s="46">
        <v>45910</v>
      </c>
      <c r="G611" s="77">
        <v>45915</v>
      </c>
      <c r="H611" s="21" t="s">
        <v>47</v>
      </c>
    </row>
    <row r="612" spans="1:29">
      <c r="A612" s="21">
        <v>601</v>
      </c>
      <c r="B612" s="9" t="s">
        <v>28</v>
      </c>
      <c r="C612" s="21">
        <v>6000122370</v>
      </c>
      <c r="D612" s="21" t="s">
        <v>53</v>
      </c>
      <c r="E612" s="75" t="s">
        <v>1098</v>
      </c>
      <c r="F612" s="46">
        <v>45910</v>
      </c>
      <c r="G612" s="77">
        <v>45915</v>
      </c>
      <c r="H612" s="21" t="s">
        <v>47</v>
      </c>
    </row>
    <row r="613" spans="1:29">
      <c r="A613" s="21">
        <v>602</v>
      </c>
      <c r="B613" s="9" t="s">
        <v>28</v>
      </c>
      <c r="C613" s="21">
        <v>6000122771</v>
      </c>
      <c r="D613" s="21" t="s">
        <v>53</v>
      </c>
      <c r="E613" s="75" t="s">
        <v>1094</v>
      </c>
      <c r="F613" s="46">
        <v>45910</v>
      </c>
      <c r="G613" s="77">
        <v>45916</v>
      </c>
      <c r="H613" s="21" t="s">
        <v>47</v>
      </c>
    </row>
    <row r="614" spans="1:29">
      <c r="A614" s="21">
        <v>603</v>
      </c>
      <c r="B614" s="9" t="s">
        <v>28</v>
      </c>
      <c r="C614" s="21">
        <v>6000122910</v>
      </c>
      <c r="D614" s="21" t="s">
        <v>53</v>
      </c>
      <c r="E614" s="75" t="s">
        <v>1095</v>
      </c>
      <c r="F614" s="46">
        <v>45910</v>
      </c>
      <c r="G614" s="77">
        <v>45916</v>
      </c>
      <c r="H614" s="21" t="s">
        <v>47</v>
      </c>
    </row>
    <row r="615" spans="1:29">
      <c r="A615" s="21">
        <v>604</v>
      </c>
      <c r="B615" s="9" t="s">
        <v>28</v>
      </c>
      <c r="C615" s="21">
        <v>6000122865</v>
      </c>
      <c r="D615" s="21" t="s">
        <v>53</v>
      </c>
      <c r="E615" s="13" t="s">
        <v>1092</v>
      </c>
      <c r="F615" s="46">
        <v>45910</v>
      </c>
      <c r="G615" s="77">
        <v>45917</v>
      </c>
      <c r="H615" s="21" t="s">
        <v>47</v>
      </c>
      <c r="I615" s="52">
        <v>2940</v>
      </c>
      <c r="J615" s="52">
        <v>5100</v>
      </c>
      <c r="S615" s="46">
        <v>45913</v>
      </c>
      <c r="T615" s="46">
        <v>45913</v>
      </c>
      <c r="AC615" s="18" t="s">
        <v>26</v>
      </c>
    </row>
    <row r="616" spans="1:29">
      <c r="A616" s="21">
        <v>605</v>
      </c>
      <c r="B616" s="9" t="s">
        <v>28</v>
      </c>
      <c r="C616" s="21">
        <v>6000122817</v>
      </c>
      <c r="D616" s="21" t="s">
        <v>53</v>
      </c>
      <c r="E616" s="13" t="s">
        <v>1093</v>
      </c>
      <c r="F616" s="46">
        <v>45910</v>
      </c>
      <c r="G616" s="77">
        <v>45917</v>
      </c>
      <c r="H616" s="21" t="s">
        <v>47</v>
      </c>
    </row>
    <row r="617" spans="1:29">
      <c r="A617" s="21">
        <v>606</v>
      </c>
      <c r="B617" s="9" t="s">
        <v>28</v>
      </c>
      <c r="C617" s="21">
        <v>6000122829</v>
      </c>
      <c r="D617" s="21" t="s">
        <v>53</v>
      </c>
      <c r="E617" s="13" t="s">
        <v>1090</v>
      </c>
      <c r="F617" s="46">
        <v>45910</v>
      </c>
      <c r="G617" s="77">
        <v>45918</v>
      </c>
      <c r="H617" s="21" t="s">
        <v>47</v>
      </c>
    </row>
    <row r="618" spans="1:29">
      <c r="A618" s="21">
        <v>607</v>
      </c>
      <c r="B618" s="9" t="s">
        <v>28</v>
      </c>
      <c r="C618" s="21">
        <v>6000121639</v>
      </c>
      <c r="D618" s="21" t="s">
        <v>53</v>
      </c>
      <c r="E618" s="13" t="s">
        <v>1091</v>
      </c>
      <c r="F618" s="46">
        <v>45910</v>
      </c>
      <c r="G618" s="77">
        <v>45918</v>
      </c>
      <c r="H618" s="21" t="s">
        <v>47</v>
      </c>
    </row>
    <row r="619" spans="1:29">
      <c r="A619" s="21">
        <v>608</v>
      </c>
      <c r="B619" s="9" t="s">
        <v>28</v>
      </c>
      <c r="C619" s="21">
        <v>6000122340</v>
      </c>
      <c r="D619" s="21" t="s">
        <v>53</v>
      </c>
      <c r="E619" s="13" t="s">
        <v>1088</v>
      </c>
      <c r="F619" s="46">
        <v>45910</v>
      </c>
      <c r="G619" s="77">
        <v>45919</v>
      </c>
      <c r="H619" s="21" t="s">
        <v>47</v>
      </c>
    </row>
    <row r="620" spans="1:29">
      <c r="A620" s="21">
        <v>609</v>
      </c>
      <c r="B620" s="9" t="s">
        <v>28</v>
      </c>
      <c r="C620" s="21">
        <v>6000122146</v>
      </c>
      <c r="D620" s="21" t="s">
        <v>53</v>
      </c>
      <c r="E620" s="13" t="s">
        <v>1089</v>
      </c>
      <c r="F620" s="46">
        <v>45910</v>
      </c>
      <c r="G620" s="77">
        <v>45919</v>
      </c>
      <c r="H620" s="21" t="s">
        <v>47</v>
      </c>
    </row>
    <row r="621" spans="1:29">
      <c r="A621" s="21">
        <v>610</v>
      </c>
      <c r="B621" s="9" t="s">
        <v>28</v>
      </c>
      <c r="C621" s="21">
        <v>6000122637</v>
      </c>
      <c r="D621" s="21" t="s">
        <v>53</v>
      </c>
      <c r="E621" s="13" t="s">
        <v>1087</v>
      </c>
      <c r="F621" s="46">
        <v>45910</v>
      </c>
      <c r="G621" s="77">
        <v>45920</v>
      </c>
      <c r="H621" s="21" t="s">
        <v>47</v>
      </c>
    </row>
    <row r="622" spans="1:29">
      <c r="A622" s="21">
        <v>611</v>
      </c>
      <c r="B622" s="76" t="s">
        <v>28</v>
      </c>
      <c r="C622" s="21">
        <v>6000122835</v>
      </c>
      <c r="D622" s="21" t="s">
        <v>53</v>
      </c>
      <c r="E622" s="13" t="s">
        <v>1085</v>
      </c>
      <c r="F622" s="46">
        <v>45910</v>
      </c>
      <c r="G622" s="77">
        <v>45922</v>
      </c>
      <c r="H622" s="21" t="s">
        <v>47</v>
      </c>
    </row>
    <row r="623" spans="1:29">
      <c r="A623" s="21">
        <v>612</v>
      </c>
      <c r="B623" s="9" t="s">
        <v>28</v>
      </c>
      <c r="C623" s="21">
        <v>6000122856</v>
      </c>
      <c r="D623" s="21" t="s">
        <v>53</v>
      </c>
      <c r="E623" s="13" t="s">
        <v>1086</v>
      </c>
      <c r="F623" s="46">
        <v>45910</v>
      </c>
      <c r="G623" s="77">
        <v>45922</v>
      </c>
      <c r="H623" s="21" t="s">
        <v>47</v>
      </c>
    </row>
    <row r="624" spans="1:29" ht="30">
      <c r="A624" s="21">
        <v>613</v>
      </c>
      <c r="B624" s="1" t="s">
        <v>1104</v>
      </c>
      <c r="C624" s="21" t="s">
        <v>1102</v>
      </c>
      <c r="D624" s="21" t="s">
        <v>180</v>
      </c>
      <c r="E624" s="64" t="s">
        <v>1103</v>
      </c>
      <c r="F624" s="46">
        <v>45911</v>
      </c>
      <c r="H624" s="21" t="s">
        <v>47</v>
      </c>
      <c r="I624" s="52">
        <v>7350</v>
      </c>
      <c r="J624" s="52">
        <v>45890</v>
      </c>
      <c r="S624" s="46">
        <v>45912</v>
      </c>
      <c r="T624" s="46">
        <v>45912</v>
      </c>
      <c r="AC624" s="18" t="s">
        <v>26</v>
      </c>
    </row>
    <row r="625" spans="1:29">
      <c r="A625" s="21">
        <v>614</v>
      </c>
      <c r="B625" s="1" t="s">
        <v>95</v>
      </c>
      <c r="C625" s="21" t="s">
        <v>1105</v>
      </c>
      <c r="D625" s="21" t="s">
        <v>180</v>
      </c>
      <c r="E625" s="1" t="s">
        <v>1106</v>
      </c>
      <c r="F625" s="46">
        <v>45912</v>
      </c>
      <c r="H625" s="21" t="s">
        <v>47</v>
      </c>
      <c r="I625" s="52">
        <v>2520</v>
      </c>
      <c r="J625" s="52">
        <v>6748.21</v>
      </c>
      <c r="S625" s="46">
        <v>45912</v>
      </c>
      <c r="T625" s="46">
        <v>45912</v>
      </c>
      <c r="AC625" s="18" t="s">
        <v>26</v>
      </c>
    </row>
    <row r="626" spans="1:29">
      <c r="A626" s="21">
        <v>615</v>
      </c>
      <c r="B626" s="1" t="s">
        <v>95</v>
      </c>
      <c r="C626" s="21" t="s">
        <v>1107</v>
      </c>
      <c r="D626" s="21" t="s">
        <v>180</v>
      </c>
      <c r="E626" s="1" t="s">
        <v>1108</v>
      </c>
      <c r="F626" s="46">
        <v>45912</v>
      </c>
      <c r="H626" s="21" t="s">
        <v>47</v>
      </c>
      <c r="I626" s="52">
        <v>23247</v>
      </c>
      <c r="S626" s="46">
        <v>45912</v>
      </c>
      <c r="AC626" s="18" t="s">
        <v>26</v>
      </c>
    </row>
    <row r="627" spans="1:29">
      <c r="A627" s="21">
        <v>616</v>
      </c>
      <c r="B627" s="1" t="s">
        <v>88</v>
      </c>
      <c r="C627" s="21">
        <v>2012504457</v>
      </c>
      <c r="D627" s="21" t="s">
        <v>41</v>
      </c>
      <c r="E627" s="1" t="s">
        <v>1109</v>
      </c>
      <c r="F627" s="46">
        <v>45910</v>
      </c>
      <c r="G627" s="46">
        <v>45916</v>
      </c>
      <c r="H627" s="21" t="s">
        <v>47</v>
      </c>
    </row>
    <row r="628" spans="1:29">
      <c r="A628" s="21">
        <v>617</v>
      </c>
      <c r="B628" s="1" t="s">
        <v>88</v>
      </c>
      <c r="C628" s="21">
        <v>2012504459</v>
      </c>
      <c r="D628" s="21" t="s">
        <v>41</v>
      </c>
      <c r="E628" s="1" t="s">
        <v>1110</v>
      </c>
      <c r="F628" s="46">
        <v>45910</v>
      </c>
      <c r="G628" s="46">
        <v>45916</v>
      </c>
      <c r="H628" s="21" t="s">
        <v>47</v>
      </c>
    </row>
    <row r="629" spans="1:29">
      <c r="A629" s="21">
        <v>618</v>
      </c>
      <c r="B629" s="1" t="s">
        <v>88</v>
      </c>
      <c r="C629" s="21">
        <v>2012504461</v>
      </c>
      <c r="D629" s="21" t="s">
        <v>41</v>
      </c>
      <c r="E629" s="1" t="s">
        <v>1111</v>
      </c>
      <c r="F629" s="46">
        <v>45910</v>
      </c>
      <c r="G629" s="46">
        <v>45916</v>
      </c>
      <c r="H629" s="21" t="s">
        <v>47</v>
      </c>
    </row>
    <row r="630" spans="1:29">
      <c r="A630" s="21">
        <v>619</v>
      </c>
      <c r="B630" s="1" t="s">
        <v>88</v>
      </c>
      <c r="C630" s="21">
        <v>2012504467</v>
      </c>
      <c r="D630" s="21" t="s">
        <v>41</v>
      </c>
      <c r="E630" s="1" t="s">
        <v>1112</v>
      </c>
      <c r="F630" s="46">
        <v>45910</v>
      </c>
      <c r="G630" s="46">
        <v>45916</v>
      </c>
      <c r="H630" s="21" t="s">
        <v>47</v>
      </c>
    </row>
    <row r="631" spans="1:29">
      <c r="A631" s="21">
        <v>620</v>
      </c>
      <c r="B631" s="1" t="s">
        <v>88</v>
      </c>
      <c r="C631" s="21">
        <v>2012504469</v>
      </c>
      <c r="D631" s="21" t="s">
        <v>41</v>
      </c>
      <c r="E631" s="1" t="s">
        <v>1113</v>
      </c>
      <c r="F631" s="46">
        <v>45910</v>
      </c>
      <c r="G631" s="46">
        <v>45916</v>
      </c>
      <c r="H631" s="21" t="s">
        <v>47</v>
      </c>
    </row>
    <row r="632" spans="1:29">
      <c r="A632" s="21">
        <v>621</v>
      </c>
      <c r="B632" s="1" t="s">
        <v>88</v>
      </c>
      <c r="C632" s="21">
        <v>2012504472</v>
      </c>
      <c r="D632" s="21" t="s">
        <v>41</v>
      </c>
      <c r="E632" s="1" t="s">
        <v>1114</v>
      </c>
      <c r="F632" s="46">
        <v>45910</v>
      </c>
      <c r="G632" s="46">
        <v>45916</v>
      </c>
      <c r="H632" s="21" t="s">
        <v>47</v>
      </c>
    </row>
    <row r="633" spans="1:29">
      <c r="A633" s="21">
        <v>622</v>
      </c>
      <c r="B633" s="1" t="s">
        <v>88</v>
      </c>
      <c r="C633" s="21">
        <v>2012504474</v>
      </c>
      <c r="D633" s="21" t="s">
        <v>41</v>
      </c>
      <c r="E633" s="1" t="s">
        <v>1115</v>
      </c>
      <c r="F633" s="46">
        <v>45910</v>
      </c>
      <c r="G633" s="46">
        <v>45916</v>
      </c>
      <c r="H633" s="21" t="s">
        <v>47</v>
      </c>
    </row>
    <row r="634" spans="1:29">
      <c r="A634" s="21">
        <v>623</v>
      </c>
      <c r="B634" s="1" t="s">
        <v>88</v>
      </c>
      <c r="C634" s="21">
        <v>2012504491</v>
      </c>
      <c r="D634" s="21" t="s">
        <v>41</v>
      </c>
      <c r="E634" s="1" t="s">
        <v>1116</v>
      </c>
      <c r="F634" s="46">
        <v>45911</v>
      </c>
      <c r="G634" s="46">
        <v>45917</v>
      </c>
      <c r="H634" s="21" t="s">
        <v>47</v>
      </c>
    </row>
    <row r="635" spans="1:29">
      <c r="A635" s="21">
        <v>624</v>
      </c>
      <c r="B635" s="1" t="s">
        <v>88</v>
      </c>
      <c r="C635" s="21">
        <v>2012504509</v>
      </c>
      <c r="D635" s="21" t="s">
        <v>41</v>
      </c>
      <c r="E635" s="1" t="s">
        <v>1117</v>
      </c>
      <c r="F635" s="46">
        <v>45912</v>
      </c>
      <c r="G635" s="46">
        <v>45918</v>
      </c>
      <c r="H635" s="21" t="s">
        <v>47</v>
      </c>
      <c r="I635" s="52">
        <v>10240</v>
      </c>
      <c r="S635" s="46">
        <v>45916</v>
      </c>
      <c r="AC635" s="18" t="s">
        <v>26</v>
      </c>
    </row>
    <row r="636" spans="1:29">
      <c r="A636" s="21">
        <v>625</v>
      </c>
      <c r="B636" s="1" t="s">
        <v>88</v>
      </c>
      <c r="C636" s="21">
        <v>2012504511</v>
      </c>
      <c r="D636" s="21" t="s">
        <v>41</v>
      </c>
      <c r="E636" s="1" t="s">
        <v>1118</v>
      </c>
      <c r="F636" s="46">
        <v>45912</v>
      </c>
      <c r="G636" s="46">
        <v>45918</v>
      </c>
      <c r="H636" s="21" t="s">
        <v>47</v>
      </c>
    </row>
    <row r="637" spans="1:29">
      <c r="A637" s="21">
        <v>626</v>
      </c>
      <c r="B637" s="1" t="s">
        <v>88</v>
      </c>
      <c r="C637" s="21">
        <v>2012504513</v>
      </c>
      <c r="D637" s="21" t="s">
        <v>41</v>
      </c>
      <c r="E637" s="1" t="s">
        <v>1116</v>
      </c>
      <c r="F637" s="46">
        <v>45911</v>
      </c>
      <c r="G637" s="46">
        <v>45917</v>
      </c>
      <c r="H637" s="21" t="s">
        <v>47</v>
      </c>
    </row>
    <row r="638" spans="1:29">
      <c r="A638" s="21">
        <v>627</v>
      </c>
      <c r="B638" s="1" t="s">
        <v>88</v>
      </c>
      <c r="C638" s="21">
        <v>2012504515</v>
      </c>
      <c r="D638" s="21" t="s">
        <v>41</v>
      </c>
      <c r="E638" s="1" t="s">
        <v>1119</v>
      </c>
      <c r="F638" s="46">
        <v>45911</v>
      </c>
      <c r="G638" s="46">
        <v>45917</v>
      </c>
      <c r="H638" s="21" t="s">
        <v>47</v>
      </c>
    </row>
    <row r="639" spans="1:29">
      <c r="A639" s="21">
        <v>628</v>
      </c>
      <c r="B639" s="1" t="s">
        <v>88</v>
      </c>
      <c r="C639" s="21" t="s">
        <v>1120</v>
      </c>
      <c r="D639" s="21" t="s">
        <v>41</v>
      </c>
      <c r="E639" s="1" t="s">
        <v>1121</v>
      </c>
      <c r="F639" s="46">
        <v>45912</v>
      </c>
      <c r="G639" s="46">
        <v>45918</v>
      </c>
      <c r="H639" s="21" t="s">
        <v>47</v>
      </c>
    </row>
    <row r="640" spans="1:29">
      <c r="A640" s="21">
        <v>629</v>
      </c>
      <c r="B640" s="1" t="s">
        <v>1122</v>
      </c>
      <c r="C640" s="21" t="s">
        <v>1123</v>
      </c>
      <c r="D640" s="21" t="s">
        <v>1124</v>
      </c>
      <c r="E640" s="1" t="s">
        <v>1125</v>
      </c>
      <c r="F640" s="46">
        <v>45910</v>
      </c>
      <c r="H640" s="21" t="s">
        <v>47</v>
      </c>
      <c r="I640" s="52">
        <v>1206630.8340000003</v>
      </c>
      <c r="S640" s="46">
        <v>45915</v>
      </c>
      <c r="AC640" s="18" t="s">
        <v>26</v>
      </c>
    </row>
    <row r="641" spans="1:29">
      <c r="A641" s="21">
        <v>630</v>
      </c>
      <c r="B641" s="1" t="s">
        <v>88</v>
      </c>
      <c r="C641" s="21">
        <v>2012504549</v>
      </c>
      <c r="D641" s="21" t="s">
        <v>41</v>
      </c>
      <c r="E641" s="1" t="s">
        <v>1126</v>
      </c>
      <c r="F641" s="46">
        <v>45915</v>
      </c>
      <c r="G641" s="46">
        <v>45919</v>
      </c>
      <c r="H641" s="21" t="s">
        <v>47</v>
      </c>
    </row>
    <row r="642" spans="1:29">
      <c r="A642" s="21">
        <v>631</v>
      </c>
      <c r="B642" s="1" t="s">
        <v>88</v>
      </c>
      <c r="C642" s="21">
        <v>2012504551</v>
      </c>
      <c r="D642" s="21" t="s">
        <v>41</v>
      </c>
      <c r="E642" s="1" t="s">
        <v>1127</v>
      </c>
      <c r="F642" s="46">
        <v>45915</v>
      </c>
      <c r="G642" s="46">
        <v>45919</v>
      </c>
      <c r="H642" s="21" t="s">
        <v>47</v>
      </c>
      <c r="I642" s="52">
        <v>13440</v>
      </c>
      <c r="S642" s="46">
        <v>45917</v>
      </c>
      <c r="AC642" s="18" t="s">
        <v>26</v>
      </c>
    </row>
    <row r="643" spans="1:29">
      <c r="A643" s="21">
        <v>632</v>
      </c>
      <c r="B643" s="1" t="s">
        <v>88</v>
      </c>
      <c r="C643" s="21">
        <v>2012504563</v>
      </c>
      <c r="D643" s="21" t="s">
        <v>41</v>
      </c>
      <c r="E643" s="1" t="s">
        <v>1128</v>
      </c>
      <c r="F643" s="46">
        <v>45915</v>
      </c>
      <c r="G643" s="46">
        <v>45919</v>
      </c>
      <c r="H643" s="21" t="s">
        <v>47</v>
      </c>
    </row>
    <row r="644" spans="1:29">
      <c r="A644" s="21">
        <v>633</v>
      </c>
      <c r="B644" s="1" t="s">
        <v>88</v>
      </c>
      <c r="C644" s="21">
        <v>2012504565</v>
      </c>
      <c r="D644" s="21" t="s">
        <v>41</v>
      </c>
      <c r="E644" s="1" t="s">
        <v>1129</v>
      </c>
      <c r="F644" s="46">
        <v>45916</v>
      </c>
      <c r="G644" s="46">
        <v>45922</v>
      </c>
      <c r="H644" s="21" t="s">
        <v>47</v>
      </c>
      <c r="I644" s="52">
        <v>4032</v>
      </c>
      <c r="S644" s="46">
        <v>45917</v>
      </c>
      <c r="AC644" s="18" t="s">
        <v>26</v>
      </c>
    </row>
    <row r="645" spans="1:29">
      <c r="A645" s="21">
        <v>634</v>
      </c>
      <c r="B645" s="1" t="s">
        <v>88</v>
      </c>
      <c r="C645" s="21">
        <v>2012504568</v>
      </c>
      <c r="D645" s="21" t="s">
        <v>41</v>
      </c>
      <c r="E645" s="1" t="s">
        <v>1130</v>
      </c>
      <c r="F645" s="46">
        <v>45916</v>
      </c>
      <c r="G645" s="46">
        <v>45919</v>
      </c>
      <c r="H645" s="21" t="s">
        <v>47</v>
      </c>
    </row>
    <row r="646" spans="1:29">
      <c r="A646" s="21">
        <v>635</v>
      </c>
      <c r="B646" s="1" t="s">
        <v>88</v>
      </c>
      <c r="C646" s="21">
        <v>2012504569</v>
      </c>
      <c r="D646" s="21" t="s">
        <v>41</v>
      </c>
      <c r="E646" s="1" t="s">
        <v>1131</v>
      </c>
      <c r="F646" s="46">
        <v>45916</v>
      </c>
      <c r="G646" s="46">
        <v>45922</v>
      </c>
      <c r="H646" s="21" t="s">
        <v>47</v>
      </c>
      <c r="I646" s="52">
        <v>138233.79</v>
      </c>
      <c r="S646" s="46">
        <v>45917</v>
      </c>
      <c r="AC646" s="18" t="s">
        <v>26</v>
      </c>
    </row>
    <row r="647" spans="1:29">
      <c r="A647" s="21">
        <v>636</v>
      </c>
      <c r="B647" s="1" t="s">
        <v>28</v>
      </c>
      <c r="C647" s="21">
        <v>6000122059</v>
      </c>
      <c r="D647" s="21" t="s">
        <v>53</v>
      </c>
      <c r="E647" s="1" t="s">
        <v>1132</v>
      </c>
      <c r="F647" s="46">
        <v>45916</v>
      </c>
      <c r="G647" s="46">
        <v>45919</v>
      </c>
      <c r="H647" s="21" t="s">
        <v>47</v>
      </c>
      <c r="I647" s="52">
        <v>770490</v>
      </c>
      <c r="S647" s="46">
        <v>45922</v>
      </c>
      <c r="AC647" s="18" t="s">
        <v>26</v>
      </c>
    </row>
    <row r="648" spans="1:29">
      <c r="A648" s="21">
        <v>637</v>
      </c>
      <c r="B648" s="1" t="s">
        <v>28</v>
      </c>
      <c r="C648" s="21">
        <v>6000121751</v>
      </c>
      <c r="D648" s="21" t="s">
        <v>53</v>
      </c>
      <c r="E648" s="1" t="s">
        <v>1133</v>
      </c>
      <c r="F648" s="46">
        <v>45916</v>
      </c>
      <c r="G648" s="46">
        <v>45919</v>
      </c>
      <c r="H648" s="21" t="s">
        <v>47</v>
      </c>
    </row>
    <row r="649" spans="1:29">
      <c r="A649" s="21">
        <v>638</v>
      </c>
      <c r="B649" s="1" t="s">
        <v>28</v>
      </c>
      <c r="C649" s="21">
        <v>6000123023</v>
      </c>
      <c r="D649" s="21" t="s">
        <v>53</v>
      </c>
      <c r="E649" s="1" t="s">
        <v>1134</v>
      </c>
      <c r="F649" s="46">
        <v>45916</v>
      </c>
      <c r="G649" s="46">
        <v>45919</v>
      </c>
      <c r="H649" s="21" t="s">
        <v>47</v>
      </c>
    </row>
    <row r="650" spans="1:29">
      <c r="A650" s="21">
        <v>639</v>
      </c>
      <c r="B650" s="1" t="s">
        <v>28</v>
      </c>
      <c r="C650" s="21">
        <v>6000117089</v>
      </c>
      <c r="D650" s="21" t="s">
        <v>53</v>
      </c>
      <c r="E650" s="1" t="s">
        <v>1135</v>
      </c>
      <c r="F650" s="46">
        <v>45916</v>
      </c>
      <c r="G650" s="46">
        <v>45919</v>
      </c>
      <c r="H650" s="21" t="s">
        <v>47</v>
      </c>
    </row>
    <row r="651" spans="1:29">
      <c r="A651" s="21">
        <v>640</v>
      </c>
      <c r="B651" s="1" t="s">
        <v>28</v>
      </c>
      <c r="C651" s="21">
        <v>6000122897</v>
      </c>
      <c r="D651" s="21" t="s">
        <v>53</v>
      </c>
      <c r="E651" s="1" t="s">
        <v>1136</v>
      </c>
      <c r="F651" s="46">
        <v>45916</v>
      </c>
      <c r="G651" s="46">
        <v>45921</v>
      </c>
      <c r="H651" s="21" t="s">
        <v>47</v>
      </c>
    </row>
    <row r="652" spans="1:29">
      <c r="A652" s="21">
        <v>641</v>
      </c>
      <c r="B652" s="1" t="s">
        <v>28</v>
      </c>
      <c r="C652" s="21">
        <v>6000123647</v>
      </c>
      <c r="D652" s="21" t="s">
        <v>53</v>
      </c>
      <c r="E652" s="1" t="s">
        <v>1137</v>
      </c>
      <c r="F652" s="46">
        <v>45916</v>
      </c>
      <c r="G652" s="46">
        <v>45922</v>
      </c>
      <c r="H652" s="21" t="s">
        <v>47</v>
      </c>
    </row>
    <row r="653" spans="1:29">
      <c r="A653" s="21">
        <v>642</v>
      </c>
      <c r="B653" s="1" t="s">
        <v>28</v>
      </c>
      <c r="C653" s="21">
        <v>6000123515</v>
      </c>
      <c r="D653" s="21" t="s">
        <v>53</v>
      </c>
      <c r="E653" s="1" t="s">
        <v>1138</v>
      </c>
      <c r="F653" s="46">
        <v>45916</v>
      </c>
      <c r="G653" s="46">
        <v>45922</v>
      </c>
      <c r="H653" s="21" t="s">
        <v>47</v>
      </c>
      <c r="I653" s="52">
        <v>497418.58</v>
      </c>
      <c r="S653" s="46">
        <v>45922</v>
      </c>
      <c r="AC653" s="18" t="s">
        <v>26</v>
      </c>
    </row>
    <row r="654" spans="1:29">
      <c r="A654" s="21">
        <v>643</v>
      </c>
      <c r="B654" s="1" t="s">
        <v>95</v>
      </c>
      <c r="C654" s="21" t="s">
        <v>1139</v>
      </c>
      <c r="D654" s="21" t="s">
        <v>180</v>
      </c>
      <c r="E654" s="1" t="s">
        <v>1140</v>
      </c>
      <c r="F654" s="46">
        <v>45918</v>
      </c>
      <c r="H654" s="21" t="s">
        <v>47</v>
      </c>
    </row>
    <row r="655" spans="1:29">
      <c r="A655" s="21">
        <v>644</v>
      </c>
      <c r="B655" s="1" t="s">
        <v>88</v>
      </c>
      <c r="C655" s="21">
        <v>2012504614</v>
      </c>
      <c r="D655" s="21" t="s">
        <v>41</v>
      </c>
      <c r="E655" s="1" t="s">
        <v>1141</v>
      </c>
      <c r="F655" s="46">
        <v>45917</v>
      </c>
      <c r="G655" s="46">
        <v>45923</v>
      </c>
      <c r="H655" s="21" t="s">
        <v>47</v>
      </c>
      <c r="I655" s="52">
        <v>6600</v>
      </c>
      <c r="S655" s="46">
        <v>45919</v>
      </c>
      <c r="AC655" s="18" t="s">
        <v>26</v>
      </c>
    </row>
    <row r="656" spans="1:29">
      <c r="A656" s="21">
        <v>645</v>
      </c>
      <c r="B656" s="1" t="s">
        <v>88</v>
      </c>
      <c r="C656" s="21">
        <v>2012504616</v>
      </c>
      <c r="D656" s="21" t="s">
        <v>41</v>
      </c>
      <c r="E656" s="1" t="s">
        <v>1142</v>
      </c>
      <c r="F656" s="46">
        <v>45917</v>
      </c>
      <c r="G656" s="46">
        <v>45923</v>
      </c>
      <c r="H656" s="21" t="s">
        <v>47</v>
      </c>
      <c r="I656" s="52">
        <v>7570.5</v>
      </c>
      <c r="J656" s="52">
        <v>32497.5</v>
      </c>
      <c r="K656" s="52">
        <v>18112.5</v>
      </c>
      <c r="L656" s="52">
        <v>33862.5</v>
      </c>
      <c r="S656" s="46">
        <v>45919</v>
      </c>
      <c r="T656" s="46">
        <v>45919</v>
      </c>
      <c r="U656" s="46">
        <v>45919</v>
      </c>
      <c r="V656" s="46">
        <v>45920</v>
      </c>
      <c r="AC656" s="18" t="s">
        <v>26</v>
      </c>
    </row>
    <row r="657" spans="1:29">
      <c r="A657" s="21">
        <v>646</v>
      </c>
      <c r="B657" s="1" t="s">
        <v>88</v>
      </c>
      <c r="C657" s="21">
        <v>2012504618</v>
      </c>
      <c r="D657" s="21" t="s">
        <v>41</v>
      </c>
      <c r="E657" s="1" t="s">
        <v>1143</v>
      </c>
      <c r="F657" s="46">
        <v>45917</v>
      </c>
      <c r="G657" s="46">
        <v>45923</v>
      </c>
      <c r="H657" s="21" t="s">
        <v>47</v>
      </c>
    </row>
    <row r="658" spans="1:29">
      <c r="A658" s="21">
        <v>647</v>
      </c>
      <c r="B658" s="1" t="s">
        <v>88</v>
      </c>
      <c r="C658" s="21">
        <v>2012504620</v>
      </c>
      <c r="D658" s="21" t="s">
        <v>41</v>
      </c>
      <c r="E658" s="1" t="s">
        <v>1144</v>
      </c>
      <c r="F658" s="46">
        <v>45917</v>
      </c>
      <c r="G658" s="46">
        <v>45923</v>
      </c>
      <c r="H658" s="21" t="s">
        <v>47</v>
      </c>
      <c r="I658" s="52">
        <v>3150</v>
      </c>
      <c r="S658" s="46">
        <v>45919</v>
      </c>
      <c r="AC658" s="18" t="s">
        <v>26</v>
      </c>
    </row>
    <row r="659" spans="1:29">
      <c r="A659" s="21">
        <v>648</v>
      </c>
      <c r="B659" s="1" t="s">
        <v>88</v>
      </c>
      <c r="C659" s="21">
        <v>2012504632</v>
      </c>
      <c r="D659" s="21" t="s">
        <v>41</v>
      </c>
      <c r="E659" s="1" t="s">
        <v>1145</v>
      </c>
      <c r="F659" s="46">
        <v>45917</v>
      </c>
      <c r="G659" s="46">
        <v>45923</v>
      </c>
      <c r="H659" s="21" t="s">
        <v>47</v>
      </c>
      <c r="I659" s="52">
        <v>12390</v>
      </c>
      <c r="J659" s="52">
        <v>2010.96</v>
      </c>
      <c r="S659" s="46">
        <v>45919</v>
      </c>
      <c r="T659" s="46">
        <v>45922</v>
      </c>
      <c r="AC659" s="18" t="s">
        <v>26</v>
      </c>
    </row>
    <row r="660" spans="1:29">
      <c r="A660" s="21">
        <v>649</v>
      </c>
      <c r="B660" s="1" t="s">
        <v>88</v>
      </c>
      <c r="C660" s="21">
        <v>2012504634</v>
      </c>
      <c r="D660" s="21" t="s">
        <v>41</v>
      </c>
      <c r="E660" s="1" t="s">
        <v>1146</v>
      </c>
      <c r="F660" s="46">
        <v>45917</v>
      </c>
      <c r="G660" s="46">
        <v>45923</v>
      </c>
      <c r="H660" s="21" t="s">
        <v>47</v>
      </c>
    </row>
    <row r="661" spans="1:29">
      <c r="A661" s="21">
        <v>650</v>
      </c>
      <c r="B661" s="1" t="s">
        <v>88</v>
      </c>
      <c r="C661" s="21">
        <v>2012504636</v>
      </c>
      <c r="D661" s="21" t="s">
        <v>41</v>
      </c>
      <c r="E661" s="1" t="s">
        <v>1147</v>
      </c>
      <c r="F661" s="46">
        <v>45917</v>
      </c>
      <c r="G661" s="46">
        <v>45923</v>
      </c>
      <c r="H661" s="21" t="s">
        <v>47</v>
      </c>
    </row>
    <row r="662" spans="1:29">
      <c r="A662" s="21">
        <v>651</v>
      </c>
      <c r="B662" s="1" t="s">
        <v>88</v>
      </c>
      <c r="C662" s="21">
        <v>2012504638</v>
      </c>
      <c r="D662" s="21" t="s">
        <v>41</v>
      </c>
      <c r="E662" s="1" t="s">
        <v>1148</v>
      </c>
      <c r="F662" s="46">
        <v>45917</v>
      </c>
      <c r="G662" s="46">
        <v>45923</v>
      </c>
      <c r="H662" s="21" t="s">
        <v>47</v>
      </c>
      <c r="I662" s="52">
        <v>24350</v>
      </c>
      <c r="S662" s="46">
        <v>45922</v>
      </c>
      <c r="AC662" s="18" t="s">
        <v>26</v>
      </c>
    </row>
    <row r="663" spans="1:29">
      <c r="A663" s="21">
        <v>652</v>
      </c>
      <c r="B663" s="1" t="s">
        <v>88</v>
      </c>
      <c r="C663" s="21">
        <v>2012504640</v>
      </c>
      <c r="D663" s="21" t="s">
        <v>41</v>
      </c>
      <c r="E663" s="1" t="s">
        <v>1149</v>
      </c>
      <c r="F663" s="46">
        <v>45917</v>
      </c>
      <c r="G663" s="46">
        <v>45923</v>
      </c>
      <c r="H663" s="21" t="s">
        <v>47</v>
      </c>
      <c r="I663" s="52">
        <v>10484.64</v>
      </c>
      <c r="S663" s="46">
        <v>45920</v>
      </c>
      <c r="AC663" s="18" t="s">
        <v>26</v>
      </c>
    </row>
    <row r="664" spans="1:29">
      <c r="A664" s="21">
        <v>653</v>
      </c>
      <c r="B664" s="1" t="s">
        <v>88</v>
      </c>
      <c r="C664" s="21">
        <v>2012504642</v>
      </c>
      <c r="D664" s="21" t="s">
        <v>41</v>
      </c>
      <c r="E664" s="1" t="s">
        <v>1150</v>
      </c>
      <c r="F664" s="46">
        <v>45917</v>
      </c>
      <c r="G664" s="46">
        <v>45923</v>
      </c>
      <c r="H664" s="21" t="s">
        <v>47</v>
      </c>
      <c r="I664" s="52">
        <v>201600</v>
      </c>
      <c r="S664" s="46">
        <v>45920</v>
      </c>
      <c r="AC664" s="18" t="s">
        <v>26</v>
      </c>
    </row>
    <row r="665" spans="1:29">
      <c r="A665" s="21">
        <v>654</v>
      </c>
      <c r="B665" s="1" t="s">
        <v>95</v>
      </c>
      <c r="C665" s="21" t="s">
        <v>1151</v>
      </c>
      <c r="D665" s="21" t="s">
        <v>180</v>
      </c>
      <c r="E665" s="1" t="s">
        <v>1152</v>
      </c>
      <c r="F665" s="46">
        <v>45919</v>
      </c>
      <c r="H665" s="21" t="s">
        <v>47</v>
      </c>
      <c r="I665" s="52">
        <v>2614.5</v>
      </c>
      <c r="S665" s="46">
        <v>45922</v>
      </c>
      <c r="AC665" s="18" t="s">
        <v>26</v>
      </c>
    </row>
    <row r="666" spans="1:29">
      <c r="A666" s="21">
        <v>655</v>
      </c>
      <c r="B666" s="1" t="s">
        <v>95</v>
      </c>
      <c r="C666" s="21" t="s">
        <v>1153</v>
      </c>
      <c r="D666" s="21" t="s">
        <v>180</v>
      </c>
      <c r="E666" s="1" t="s">
        <v>1154</v>
      </c>
      <c r="F666" s="46">
        <v>45919</v>
      </c>
      <c r="H666" s="21" t="s">
        <v>47</v>
      </c>
      <c r="I666" s="52">
        <v>26846.400000000001</v>
      </c>
      <c r="S666" s="46">
        <v>45919</v>
      </c>
      <c r="AC666" s="18" t="s">
        <v>26</v>
      </c>
    </row>
    <row r="667" spans="1:29">
      <c r="A667" s="21">
        <v>656</v>
      </c>
      <c r="B667" s="1" t="s">
        <v>95</v>
      </c>
      <c r="C667" s="21" t="s">
        <v>1155</v>
      </c>
      <c r="D667" s="21" t="s">
        <v>180</v>
      </c>
      <c r="E667" s="1" t="s">
        <v>1156</v>
      </c>
      <c r="F667" s="46">
        <v>45919</v>
      </c>
      <c r="H667" s="21" t="s">
        <v>47</v>
      </c>
      <c r="I667" s="52">
        <v>2725</v>
      </c>
      <c r="S667" s="46">
        <v>45923</v>
      </c>
      <c r="AC667" s="18" t="s">
        <v>26</v>
      </c>
    </row>
    <row r="668" spans="1:29">
      <c r="A668" s="21">
        <v>657</v>
      </c>
      <c r="B668" s="1" t="s">
        <v>95</v>
      </c>
      <c r="C668" s="21" t="s">
        <v>1157</v>
      </c>
      <c r="D668" s="21" t="s">
        <v>180</v>
      </c>
      <c r="E668" s="1" t="s">
        <v>1163</v>
      </c>
      <c r="F668" s="46">
        <v>45922</v>
      </c>
      <c r="H668" s="21" t="s">
        <v>47</v>
      </c>
      <c r="I668" s="52">
        <v>46273.5</v>
      </c>
      <c r="S668" s="46">
        <v>45923</v>
      </c>
      <c r="AC668" s="18" t="s">
        <v>26</v>
      </c>
    </row>
    <row r="669" spans="1:29">
      <c r="A669" s="21">
        <v>658</v>
      </c>
      <c r="B669" s="1" t="s">
        <v>91</v>
      </c>
      <c r="C669" s="21" t="s">
        <v>1158</v>
      </c>
      <c r="D669" s="21" t="s">
        <v>180</v>
      </c>
      <c r="E669" s="1" t="s">
        <v>1162</v>
      </c>
      <c r="F669" s="46">
        <v>45922</v>
      </c>
      <c r="H669" s="21" t="s">
        <v>47</v>
      </c>
    </row>
    <row r="670" spans="1:29">
      <c r="A670" s="21">
        <v>659</v>
      </c>
      <c r="B670" s="1" t="s">
        <v>91</v>
      </c>
      <c r="C670" s="21" t="s">
        <v>1159</v>
      </c>
      <c r="D670" s="21" t="s">
        <v>180</v>
      </c>
      <c r="E670" s="1" t="s">
        <v>1164</v>
      </c>
      <c r="F670" s="46">
        <v>45922</v>
      </c>
      <c r="H670" s="21" t="s">
        <v>47</v>
      </c>
      <c r="I670" s="52">
        <v>5985</v>
      </c>
      <c r="J670" s="52">
        <v>3773.31</v>
      </c>
      <c r="S670" s="46">
        <v>45925</v>
      </c>
      <c r="T670" s="46">
        <v>45926</v>
      </c>
      <c r="AC670" s="18" t="s">
        <v>26</v>
      </c>
    </row>
    <row r="671" spans="1:29">
      <c r="A671" s="21">
        <v>660</v>
      </c>
      <c r="B671" s="1" t="s">
        <v>91</v>
      </c>
      <c r="C671" s="47" t="s">
        <v>1160</v>
      </c>
      <c r="D671" s="21" t="s">
        <v>180</v>
      </c>
      <c r="E671" s="1" t="s">
        <v>1161</v>
      </c>
      <c r="F671" s="46">
        <v>45922</v>
      </c>
      <c r="H671" s="21" t="s">
        <v>47</v>
      </c>
      <c r="I671" s="52">
        <v>1310.4000000000001</v>
      </c>
      <c r="J671" s="52">
        <v>1365</v>
      </c>
      <c r="S671" s="46">
        <v>45925</v>
      </c>
      <c r="T671" s="46">
        <v>45926</v>
      </c>
      <c r="AC671" s="18" t="s">
        <v>26</v>
      </c>
    </row>
    <row r="672" spans="1:29">
      <c r="A672" s="21">
        <v>661</v>
      </c>
      <c r="B672" s="1" t="s">
        <v>95</v>
      </c>
      <c r="C672" s="47" t="s">
        <v>1165</v>
      </c>
      <c r="D672" s="21" t="s">
        <v>180</v>
      </c>
      <c r="E672" s="1" t="s">
        <v>1166</v>
      </c>
      <c r="F672" s="46">
        <v>45923</v>
      </c>
      <c r="G672" s="46">
        <v>45930</v>
      </c>
      <c r="H672" s="21" t="s">
        <v>47</v>
      </c>
    </row>
    <row r="673" spans="1:29">
      <c r="A673" s="21">
        <v>662</v>
      </c>
      <c r="B673" s="1" t="s">
        <v>94</v>
      </c>
      <c r="C673" s="21" t="s">
        <v>1167</v>
      </c>
      <c r="D673" s="21" t="s">
        <v>180</v>
      </c>
      <c r="E673" s="1" t="s">
        <v>1168</v>
      </c>
      <c r="F673" s="46">
        <v>45923</v>
      </c>
      <c r="H673" s="21" t="s">
        <v>47</v>
      </c>
      <c r="I673" s="52">
        <v>23199.89</v>
      </c>
      <c r="S673" s="46">
        <v>45926</v>
      </c>
      <c r="AC673" s="18" t="s">
        <v>26</v>
      </c>
    </row>
    <row r="674" spans="1:29">
      <c r="A674" s="21">
        <v>663</v>
      </c>
      <c r="B674" s="1" t="s">
        <v>91</v>
      </c>
      <c r="C674" s="47" t="s">
        <v>1169</v>
      </c>
      <c r="D674" s="21" t="s">
        <v>180</v>
      </c>
      <c r="E674" s="1" t="s">
        <v>829</v>
      </c>
      <c r="F674" s="46">
        <v>45924</v>
      </c>
      <c r="H674" s="21" t="s">
        <v>47</v>
      </c>
    </row>
    <row r="675" spans="1:29">
      <c r="A675" s="21">
        <v>664</v>
      </c>
      <c r="B675" s="1" t="s">
        <v>95</v>
      </c>
      <c r="C675" s="21" t="s">
        <v>1170</v>
      </c>
      <c r="D675" s="21" t="s">
        <v>180</v>
      </c>
      <c r="E675" s="1" t="s">
        <v>1171</v>
      </c>
      <c r="F675" s="46">
        <v>45925</v>
      </c>
      <c r="H675" s="21" t="s">
        <v>47</v>
      </c>
      <c r="I675" s="52">
        <v>8750.17</v>
      </c>
      <c r="J675" s="52">
        <v>1562.66</v>
      </c>
      <c r="S675" s="46">
        <v>45925</v>
      </c>
      <c r="T675" s="46">
        <v>45930</v>
      </c>
      <c r="AC675" s="18" t="s">
        <v>26</v>
      </c>
    </row>
    <row r="676" spans="1:29">
      <c r="A676" s="21">
        <v>665</v>
      </c>
      <c r="B676" s="1" t="s">
        <v>95</v>
      </c>
      <c r="C676" s="21" t="s">
        <v>1172</v>
      </c>
      <c r="D676" s="21" t="s">
        <v>180</v>
      </c>
      <c r="E676" s="1" t="s">
        <v>1173</v>
      </c>
      <c r="F676" s="46">
        <v>45925</v>
      </c>
      <c r="H676" s="21" t="s">
        <v>47</v>
      </c>
      <c r="I676" s="52">
        <v>21524.98</v>
      </c>
      <c r="S676" s="46">
        <v>45931</v>
      </c>
      <c r="AC676" s="18" t="s">
        <v>26</v>
      </c>
    </row>
    <row r="677" spans="1:29">
      <c r="A677" s="21">
        <v>666</v>
      </c>
      <c r="C677" s="21" t="s">
        <v>1174</v>
      </c>
      <c r="D677" s="21" t="s">
        <v>180</v>
      </c>
      <c r="E677" s="1" t="s">
        <v>1175</v>
      </c>
      <c r="F677" s="46">
        <v>45925</v>
      </c>
      <c r="H677" s="21" t="s">
        <v>47</v>
      </c>
      <c r="I677" s="52">
        <v>2567.59</v>
      </c>
      <c r="J677" s="52">
        <v>4722.83</v>
      </c>
      <c r="K677" s="52">
        <v>7748.97</v>
      </c>
      <c r="S677" s="46">
        <v>45925</v>
      </c>
      <c r="T677" s="46">
        <v>45926</v>
      </c>
      <c r="U677" s="46">
        <v>45926</v>
      </c>
      <c r="AC677" s="18" t="s">
        <v>26</v>
      </c>
    </row>
    <row r="678" spans="1:29">
      <c r="A678" s="21">
        <v>667</v>
      </c>
      <c r="B678" s="1" t="s">
        <v>91</v>
      </c>
      <c r="C678" s="21" t="s">
        <v>1176</v>
      </c>
      <c r="D678" s="21" t="s">
        <v>180</v>
      </c>
      <c r="E678" s="1" t="s">
        <v>1177</v>
      </c>
      <c r="F678" s="46">
        <v>45925</v>
      </c>
      <c r="H678" s="21" t="s">
        <v>47</v>
      </c>
      <c r="I678" s="52">
        <v>533.36</v>
      </c>
      <c r="J678" s="52">
        <v>6442.8</v>
      </c>
      <c r="K678" s="52">
        <v>11508</v>
      </c>
      <c r="S678" s="46">
        <v>45930</v>
      </c>
      <c r="T678" s="46">
        <v>45929</v>
      </c>
      <c r="U678" s="46">
        <v>45929</v>
      </c>
      <c r="AC678" s="18" t="s">
        <v>26</v>
      </c>
    </row>
    <row r="679" spans="1:29">
      <c r="A679" s="21">
        <v>668</v>
      </c>
      <c r="B679" s="1" t="s">
        <v>91</v>
      </c>
      <c r="C679" s="21" t="s">
        <v>1178</v>
      </c>
      <c r="D679" s="21" t="s">
        <v>180</v>
      </c>
      <c r="E679" s="1" t="s">
        <v>1179</v>
      </c>
      <c r="F679" s="46">
        <v>45925</v>
      </c>
      <c r="H679" s="21" t="s">
        <v>47</v>
      </c>
      <c r="I679" s="52">
        <v>27060</v>
      </c>
      <c r="J679" s="52">
        <v>7050</v>
      </c>
      <c r="K679" s="52">
        <v>2972.98</v>
      </c>
      <c r="S679" s="46">
        <v>45929</v>
      </c>
      <c r="T679" s="46">
        <v>45929</v>
      </c>
      <c r="U679" s="46">
        <v>45930</v>
      </c>
      <c r="AC679" s="18" t="s">
        <v>26</v>
      </c>
    </row>
    <row r="680" spans="1:29">
      <c r="A680" s="21">
        <v>669</v>
      </c>
      <c r="B680" s="1" t="s">
        <v>91</v>
      </c>
      <c r="C680" s="21" t="s">
        <v>1185</v>
      </c>
      <c r="D680" s="21" t="s">
        <v>180</v>
      </c>
      <c r="E680" s="1" t="s">
        <v>1180</v>
      </c>
      <c r="F680" s="46">
        <v>45925</v>
      </c>
      <c r="H680" s="21" t="s">
        <v>47</v>
      </c>
      <c r="I680" s="52">
        <v>710</v>
      </c>
      <c r="J680" s="52">
        <v>5216.3999999999996</v>
      </c>
      <c r="K680" s="52">
        <v>3427.2</v>
      </c>
      <c r="L680" s="52">
        <v>70512</v>
      </c>
      <c r="M680" s="52">
        <v>3062.86</v>
      </c>
      <c r="S680" s="46">
        <v>45930</v>
      </c>
      <c r="T680" s="46">
        <v>45930</v>
      </c>
      <c r="U680" s="46">
        <v>45930</v>
      </c>
      <c r="V680" s="46">
        <v>45931</v>
      </c>
      <c r="W680" s="46">
        <v>45930</v>
      </c>
      <c r="AC680" s="18" t="s">
        <v>26</v>
      </c>
    </row>
    <row r="681" spans="1:29">
      <c r="A681" s="21">
        <v>670</v>
      </c>
      <c r="B681" s="1" t="s">
        <v>91</v>
      </c>
      <c r="C681" s="21" t="s">
        <v>1181</v>
      </c>
      <c r="D681" s="21" t="s">
        <v>180</v>
      </c>
      <c r="E681" s="1" t="s">
        <v>1182</v>
      </c>
      <c r="F681" s="46">
        <v>45930</v>
      </c>
      <c r="H681" s="21" t="s">
        <v>47</v>
      </c>
      <c r="J681" s="81"/>
      <c r="K681" s="80"/>
    </row>
    <row r="682" spans="1:29">
      <c r="A682" s="21">
        <v>671</v>
      </c>
      <c r="B682" s="1" t="s">
        <v>91</v>
      </c>
      <c r="C682" s="21" t="s">
        <v>1183</v>
      </c>
      <c r="D682" s="21" t="s">
        <v>180</v>
      </c>
      <c r="E682" s="1" t="s">
        <v>1184</v>
      </c>
      <c r="F682" s="46">
        <v>45930</v>
      </c>
      <c r="H682" s="21" t="s">
        <v>47</v>
      </c>
      <c r="I682" s="52">
        <v>4826</v>
      </c>
      <c r="J682" s="52">
        <v>30550</v>
      </c>
      <c r="K682" s="80">
        <v>4011</v>
      </c>
      <c r="S682" s="46">
        <v>45930</v>
      </c>
      <c r="T682" s="46">
        <v>45931</v>
      </c>
      <c r="U682" s="46">
        <v>45931</v>
      </c>
      <c r="AC682" s="18" t="s">
        <v>26</v>
      </c>
    </row>
    <row r="683" spans="1:29">
      <c r="A683" s="21">
        <v>672</v>
      </c>
      <c r="B683" s="9" t="s">
        <v>28</v>
      </c>
      <c r="C683" s="21">
        <v>6000124540</v>
      </c>
      <c r="D683" s="21" t="s">
        <v>53</v>
      </c>
      <c r="E683" s="78" t="s">
        <v>1186</v>
      </c>
      <c r="G683" s="46">
        <v>45961</v>
      </c>
      <c r="H683" s="21" t="s">
        <v>47</v>
      </c>
      <c r="I683" s="52">
        <v>3780</v>
      </c>
      <c r="J683" s="52">
        <v>3776.85</v>
      </c>
      <c r="S683" s="46">
        <v>45934</v>
      </c>
      <c r="T683" s="46">
        <v>45933</v>
      </c>
      <c r="AC683" s="18" t="s">
        <v>26</v>
      </c>
    </row>
    <row r="684" spans="1:29">
      <c r="A684" s="21">
        <v>673</v>
      </c>
      <c r="B684" s="9" t="s">
        <v>28</v>
      </c>
      <c r="C684" s="21">
        <v>6000123079</v>
      </c>
      <c r="D684" s="21" t="s">
        <v>53</v>
      </c>
      <c r="E684" s="78" t="s">
        <v>1187</v>
      </c>
      <c r="G684" s="46">
        <v>45954</v>
      </c>
      <c r="H684" s="21" t="s">
        <v>47</v>
      </c>
      <c r="S684" s="46"/>
    </row>
    <row r="685" spans="1:29">
      <c r="A685" s="21">
        <v>674</v>
      </c>
      <c r="B685" s="9" t="s">
        <v>28</v>
      </c>
      <c r="C685" s="21">
        <v>6000124948</v>
      </c>
      <c r="D685" s="21" t="s">
        <v>53</v>
      </c>
      <c r="E685" s="78" t="s">
        <v>1188</v>
      </c>
      <c r="G685" s="46">
        <v>45939</v>
      </c>
      <c r="H685" s="21" t="s">
        <v>47</v>
      </c>
    </row>
    <row r="686" spans="1:29">
      <c r="A686" s="21">
        <v>675</v>
      </c>
      <c r="B686" s="9" t="s">
        <v>28</v>
      </c>
      <c r="C686" s="21">
        <v>6000124833</v>
      </c>
      <c r="D686" s="21" t="s">
        <v>53</v>
      </c>
      <c r="E686" s="78" t="s">
        <v>1189</v>
      </c>
      <c r="G686" s="46">
        <v>45938</v>
      </c>
      <c r="H686" s="21" t="s">
        <v>47</v>
      </c>
    </row>
    <row r="687" spans="1:29">
      <c r="A687" s="21">
        <v>676</v>
      </c>
      <c r="B687" s="9" t="s">
        <v>28</v>
      </c>
      <c r="C687" s="21">
        <v>6000124044</v>
      </c>
      <c r="D687" s="21" t="s">
        <v>53</v>
      </c>
      <c r="E687" s="78" t="s">
        <v>1190</v>
      </c>
      <c r="G687" s="46">
        <v>45936</v>
      </c>
      <c r="H687" s="21" t="s">
        <v>47</v>
      </c>
    </row>
    <row r="688" spans="1:29">
      <c r="A688" s="21">
        <v>677</v>
      </c>
      <c r="B688" s="9" t="s">
        <v>28</v>
      </c>
      <c r="C688" s="21">
        <v>6000125156</v>
      </c>
      <c r="D688" s="21" t="s">
        <v>53</v>
      </c>
      <c r="E688" s="78" t="s">
        <v>1191</v>
      </c>
      <c r="G688" s="46">
        <v>45936</v>
      </c>
      <c r="H688" s="21" t="s">
        <v>47</v>
      </c>
    </row>
    <row r="689" spans="1:29">
      <c r="A689" s="21">
        <v>678</v>
      </c>
      <c r="B689" s="9" t="s">
        <v>28</v>
      </c>
      <c r="C689" s="21">
        <v>6000124531</v>
      </c>
      <c r="D689" s="21" t="s">
        <v>53</v>
      </c>
      <c r="E689" s="78" t="s">
        <v>1192</v>
      </c>
      <c r="G689" s="46">
        <v>45934</v>
      </c>
      <c r="H689" s="21" t="s">
        <v>47</v>
      </c>
    </row>
    <row r="690" spans="1:29">
      <c r="A690" s="21">
        <v>679</v>
      </c>
      <c r="C690" s="21" t="s">
        <v>1193</v>
      </c>
      <c r="D690" s="21" t="s">
        <v>180</v>
      </c>
      <c r="E690" s="1" t="s">
        <v>1194</v>
      </c>
      <c r="F690" s="46">
        <v>45933</v>
      </c>
      <c r="H690" s="21" t="s">
        <v>47</v>
      </c>
      <c r="I690" s="52">
        <v>1226</v>
      </c>
      <c r="S690" s="46">
        <v>45944</v>
      </c>
      <c r="AC690" s="18" t="s">
        <v>26</v>
      </c>
    </row>
    <row r="691" spans="1:29" ht="30">
      <c r="A691" s="21">
        <v>680</v>
      </c>
      <c r="C691" s="66" t="s">
        <v>1195</v>
      </c>
      <c r="D691" s="21" t="s">
        <v>180</v>
      </c>
      <c r="E691" s="64" t="s">
        <v>1196</v>
      </c>
      <c r="F691" s="46">
        <v>45933</v>
      </c>
      <c r="H691" s="21" t="s">
        <v>47</v>
      </c>
    </row>
    <row r="692" spans="1:29">
      <c r="A692" s="21">
        <v>681</v>
      </c>
      <c r="C692" s="21" t="s">
        <v>1197</v>
      </c>
      <c r="D692" s="21" t="s">
        <v>180</v>
      </c>
      <c r="E692" s="1" t="s">
        <v>1198</v>
      </c>
      <c r="F692" s="46">
        <v>45933</v>
      </c>
      <c r="H692" s="21" t="s">
        <v>47</v>
      </c>
    </row>
    <row r="693" spans="1:29">
      <c r="A693" s="21">
        <v>682</v>
      </c>
      <c r="C693" s="21" t="s">
        <v>1199</v>
      </c>
      <c r="D693" s="21" t="s">
        <v>180</v>
      </c>
      <c r="E693" s="1" t="s">
        <v>1200</v>
      </c>
      <c r="F693" s="46">
        <v>45933</v>
      </c>
      <c r="H693" s="21" t="s">
        <v>47</v>
      </c>
      <c r="I693" s="52">
        <v>3811.5</v>
      </c>
      <c r="J693" s="52">
        <v>1629.6</v>
      </c>
      <c r="K693" s="52">
        <v>1050</v>
      </c>
      <c r="S693" s="46">
        <v>45936</v>
      </c>
      <c r="T693" s="46">
        <v>45938</v>
      </c>
      <c r="U693" s="46">
        <v>45943</v>
      </c>
      <c r="AC693" s="18" t="s">
        <v>26</v>
      </c>
    </row>
    <row r="694" spans="1:29" ht="30">
      <c r="A694" s="21">
        <v>683</v>
      </c>
      <c r="C694" s="21" t="s">
        <v>1201</v>
      </c>
      <c r="D694" s="21" t="s">
        <v>180</v>
      </c>
      <c r="E694" s="64" t="s">
        <v>1202</v>
      </c>
      <c r="F694" s="46">
        <v>45933</v>
      </c>
      <c r="H694" s="21" t="s">
        <v>47</v>
      </c>
      <c r="I694" s="52">
        <v>16590</v>
      </c>
      <c r="J694" s="52">
        <v>23667</v>
      </c>
      <c r="S694" s="46">
        <v>45938</v>
      </c>
      <c r="T694" s="46">
        <v>45938</v>
      </c>
      <c r="U694" s="46"/>
      <c r="AC694" s="18" t="s">
        <v>26</v>
      </c>
    </row>
    <row r="695" spans="1:29">
      <c r="A695" s="21">
        <v>684</v>
      </c>
      <c r="C695" s="21" t="s">
        <v>1203</v>
      </c>
      <c r="D695" s="21" t="s">
        <v>180</v>
      </c>
      <c r="E695" s="1" t="s">
        <v>1204</v>
      </c>
      <c r="F695" s="46">
        <v>45933</v>
      </c>
      <c r="H695" s="21" t="s">
        <v>47</v>
      </c>
      <c r="I695" s="52">
        <v>150</v>
      </c>
      <c r="J695" s="52">
        <v>2145</v>
      </c>
      <c r="K695" s="52">
        <v>96</v>
      </c>
      <c r="S695" s="46">
        <v>45939</v>
      </c>
      <c r="T695" s="46">
        <v>45938</v>
      </c>
      <c r="U695" s="46">
        <v>45945</v>
      </c>
      <c r="AC695" s="18" t="s">
        <v>26</v>
      </c>
    </row>
    <row r="696" spans="1:29">
      <c r="A696" s="21">
        <v>685</v>
      </c>
      <c r="C696" s="21" t="s">
        <v>1205</v>
      </c>
      <c r="D696" s="21" t="s">
        <v>180</v>
      </c>
      <c r="E696" s="1" t="s">
        <v>1206</v>
      </c>
      <c r="F696" s="46">
        <v>45936</v>
      </c>
      <c r="H696" s="21" t="s">
        <v>47</v>
      </c>
    </row>
    <row r="697" spans="1:29">
      <c r="A697" s="21">
        <v>686</v>
      </c>
      <c r="C697" s="21" t="s">
        <v>1207</v>
      </c>
      <c r="D697" s="21" t="s">
        <v>180</v>
      </c>
      <c r="E697" s="1" t="s">
        <v>1208</v>
      </c>
      <c r="F697" s="46">
        <v>45936</v>
      </c>
      <c r="H697" s="21" t="s">
        <v>47</v>
      </c>
      <c r="I697" s="52">
        <v>9625</v>
      </c>
      <c r="J697" s="52">
        <v>8750</v>
      </c>
      <c r="S697" s="46">
        <v>45939</v>
      </c>
      <c r="T697" s="46">
        <v>45941</v>
      </c>
      <c r="AC697" s="18" t="s">
        <v>26</v>
      </c>
    </row>
    <row r="698" spans="1:29">
      <c r="A698" s="21">
        <v>687</v>
      </c>
      <c r="B698" s="1" t="s">
        <v>95</v>
      </c>
      <c r="C698" s="21" t="s">
        <v>1210</v>
      </c>
      <c r="D698" s="21" t="s">
        <v>180</v>
      </c>
      <c r="E698" s="1" t="s">
        <v>1209</v>
      </c>
      <c r="F698" s="46">
        <v>45937</v>
      </c>
      <c r="H698" s="21" t="s">
        <v>47</v>
      </c>
      <c r="I698" s="52">
        <v>1132.6500000000001</v>
      </c>
      <c r="S698" s="46">
        <v>45939</v>
      </c>
      <c r="AC698" s="18" t="s">
        <v>26</v>
      </c>
    </row>
    <row r="699" spans="1:29">
      <c r="A699" s="21">
        <v>688</v>
      </c>
      <c r="B699" s="1" t="s">
        <v>95</v>
      </c>
      <c r="C699" s="21" t="s">
        <v>1211</v>
      </c>
      <c r="D699" s="21" t="s">
        <v>180</v>
      </c>
      <c r="E699" s="1" t="s">
        <v>1212</v>
      </c>
      <c r="F699" s="46">
        <v>45937</v>
      </c>
      <c r="H699" s="21" t="s">
        <v>47</v>
      </c>
      <c r="I699" s="52">
        <v>16050</v>
      </c>
      <c r="S699" s="46">
        <v>45940</v>
      </c>
      <c r="AC699" s="18" t="s">
        <v>26</v>
      </c>
    </row>
    <row r="700" spans="1:29">
      <c r="A700" s="21">
        <v>689</v>
      </c>
      <c r="B700" s="1" t="s">
        <v>91</v>
      </c>
      <c r="C700" s="21" t="s">
        <v>1213</v>
      </c>
      <c r="D700" s="21" t="s">
        <v>180</v>
      </c>
      <c r="E700" s="1" t="s">
        <v>1214</v>
      </c>
      <c r="F700" s="46">
        <v>45938</v>
      </c>
      <c r="H700" s="21" t="s">
        <v>47</v>
      </c>
    </row>
    <row r="701" spans="1:29">
      <c r="A701" s="21">
        <v>690</v>
      </c>
      <c r="B701" s="1" t="s">
        <v>95</v>
      </c>
      <c r="C701" s="21" t="s">
        <v>1216</v>
      </c>
      <c r="D701" s="21" t="s">
        <v>180</v>
      </c>
      <c r="E701" s="1" t="s">
        <v>1215</v>
      </c>
      <c r="F701" s="46">
        <v>45937</v>
      </c>
      <c r="H701" s="21" t="s">
        <v>47</v>
      </c>
      <c r="I701" s="52">
        <v>6942.6</v>
      </c>
      <c r="J701" s="52">
        <v>766.5</v>
      </c>
      <c r="K701" s="52">
        <v>4195</v>
      </c>
      <c r="L701" s="52">
        <v>7530.6</v>
      </c>
      <c r="M701" s="52">
        <v>7800.45</v>
      </c>
      <c r="N701" s="52">
        <v>613.24</v>
      </c>
      <c r="O701" s="52">
        <v>6415.5</v>
      </c>
      <c r="S701" s="46">
        <v>45940</v>
      </c>
      <c r="T701" s="46">
        <v>45940</v>
      </c>
      <c r="U701" s="46">
        <v>45941</v>
      </c>
      <c r="V701" s="46">
        <v>45940</v>
      </c>
      <c r="W701" s="46">
        <v>45940</v>
      </c>
      <c r="X701" s="46">
        <v>45940</v>
      </c>
      <c r="Y701" s="46">
        <v>45950</v>
      </c>
      <c r="AC701" s="18" t="s">
        <v>26</v>
      </c>
    </row>
    <row r="702" spans="1:29">
      <c r="A702" s="21">
        <v>691</v>
      </c>
      <c r="B702" s="1" t="s">
        <v>95</v>
      </c>
      <c r="C702" s="21" t="s">
        <v>1217</v>
      </c>
      <c r="D702" s="21" t="s">
        <v>180</v>
      </c>
      <c r="E702" s="1" t="s">
        <v>1218</v>
      </c>
      <c r="F702" s="46">
        <v>45940</v>
      </c>
      <c r="G702" s="46">
        <v>45943</v>
      </c>
      <c r="H702" s="21" t="s">
        <v>47</v>
      </c>
      <c r="I702" s="52">
        <v>1575</v>
      </c>
      <c r="J702" s="52">
        <v>363</v>
      </c>
      <c r="K702" s="52">
        <v>3789.45</v>
      </c>
      <c r="L702" s="52">
        <v>10237.5</v>
      </c>
      <c r="M702" s="68">
        <v>3324.0698662499999</v>
      </c>
      <c r="N702" s="52">
        <v>966</v>
      </c>
      <c r="S702" s="46">
        <v>45940</v>
      </c>
      <c r="T702" s="46">
        <v>45941</v>
      </c>
      <c r="U702" s="46">
        <v>45941</v>
      </c>
      <c r="V702" s="46">
        <v>45941</v>
      </c>
      <c r="W702" s="46">
        <v>45943</v>
      </c>
      <c r="X702" s="46">
        <v>45945</v>
      </c>
      <c r="AC702" s="18" t="s">
        <v>26</v>
      </c>
    </row>
    <row r="703" spans="1:29">
      <c r="A703" s="21">
        <v>692</v>
      </c>
      <c r="B703" s="1" t="s">
        <v>88</v>
      </c>
      <c r="C703" s="21">
        <v>2012505015</v>
      </c>
      <c r="D703" s="21" t="s">
        <v>41</v>
      </c>
      <c r="E703" s="1" t="s">
        <v>1219</v>
      </c>
      <c r="F703" s="46">
        <v>45938</v>
      </c>
      <c r="G703" s="46">
        <v>45944</v>
      </c>
      <c r="H703" s="21" t="s">
        <v>47</v>
      </c>
      <c r="I703" s="52">
        <v>1052.0999999999999</v>
      </c>
      <c r="S703" s="46">
        <v>45943</v>
      </c>
      <c r="AC703" s="18" t="s">
        <v>26</v>
      </c>
    </row>
    <row r="704" spans="1:29">
      <c r="A704" s="21">
        <v>693</v>
      </c>
      <c r="B704" s="1" t="s">
        <v>88</v>
      </c>
      <c r="C704" s="21">
        <v>2012505018</v>
      </c>
      <c r="D704" s="21" t="s">
        <v>41</v>
      </c>
      <c r="E704" s="1" t="s">
        <v>1220</v>
      </c>
      <c r="F704" s="46">
        <v>45938</v>
      </c>
      <c r="G704" s="46">
        <v>45944</v>
      </c>
      <c r="H704" s="21" t="s">
        <v>47</v>
      </c>
    </row>
    <row r="705" spans="1:29">
      <c r="A705" s="21">
        <v>694</v>
      </c>
      <c r="B705" s="1" t="s">
        <v>88</v>
      </c>
      <c r="C705" s="21">
        <v>2012505021</v>
      </c>
      <c r="D705" s="21" t="s">
        <v>41</v>
      </c>
      <c r="E705" s="1" t="s">
        <v>1221</v>
      </c>
      <c r="F705" s="46">
        <v>45938</v>
      </c>
      <c r="G705" s="46">
        <v>45944</v>
      </c>
      <c r="H705" s="21" t="s">
        <v>47</v>
      </c>
    </row>
    <row r="706" spans="1:29" ht="18">
      <c r="A706" s="21">
        <v>695</v>
      </c>
      <c r="B706" s="1" t="s">
        <v>88</v>
      </c>
      <c r="C706" s="21">
        <v>2012505096</v>
      </c>
      <c r="D706" s="21" t="s">
        <v>41</v>
      </c>
      <c r="E706" s="1" t="s">
        <v>1222</v>
      </c>
      <c r="F706" s="46">
        <v>45940</v>
      </c>
      <c r="G706" s="46">
        <v>45946</v>
      </c>
      <c r="H706" s="21" t="s">
        <v>47</v>
      </c>
      <c r="I706" s="52">
        <v>14543.68</v>
      </c>
      <c r="J706" s="52">
        <v>6407.1</v>
      </c>
      <c r="S706" s="46">
        <v>45943</v>
      </c>
      <c r="T706" s="46">
        <v>45943</v>
      </c>
      <c r="AC706" s="18" t="s">
        <v>26</v>
      </c>
    </row>
    <row r="707" spans="1:29" ht="18">
      <c r="A707" s="21">
        <v>696</v>
      </c>
      <c r="B707" s="1" t="s">
        <v>88</v>
      </c>
      <c r="C707" s="21">
        <v>2012505103</v>
      </c>
      <c r="D707" s="21" t="s">
        <v>41</v>
      </c>
      <c r="E707" s="1" t="s">
        <v>1223</v>
      </c>
      <c r="F707" s="46">
        <v>45940</v>
      </c>
      <c r="G707" s="46">
        <v>45946</v>
      </c>
      <c r="H707" s="21" t="s">
        <v>47</v>
      </c>
      <c r="I707" s="52">
        <v>136600</v>
      </c>
      <c r="S707" s="46">
        <v>45941</v>
      </c>
      <c r="AC707" s="18" t="s">
        <v>26</v>
      </c>
    </row>
    <row r="708" spans="1:29" ht="18">
      <c r="A708" s="21">
        <v>697</v>
      </c>
      <c r="B708" s="1" t="s">
        <v>88</v>
      </c>
      <c r="C708" s="21">
        <v>2012505105</v>
      </c>
      <c r="D708" s="21" t="s">
        <v>41</v>
      </c>
      <c r="E708" s="1" t="s">
        <v>1224</v>
      </c>
      <c r="F708" s="46">
        <v>45940</v>
      </c>
      <c r="G708" s="46">
        <v>45946</v>
      </c>
      <c r="H708" s="21" t="s">
        <v>47</v>
      </c>
      <c r="I708" s="52">
        <v>69373</v>
      </c>
      <c r="S708" s="46">
        <v>45945</v>
      </c>
      <c r="AC708" s="18" t="s">
        <v>26</v>
      </c>
    </row>
    <row r="709" spans="1:29">
      <c r="A709" s="21">
        <v>698</v>
      </c>
      <c r="C709" s="21" t="s">
        <v>1226</v>
      </c>
      <c r="D709" s="21" t="s">
        <v>180</v>
      </c>
      <c r="E709" s="1" t="s">
        <v>1227</v>
      </c>
      <c r="F709" s="46">
        <v>45943</v>
      </c>
      <c r="H709" s="21" t="s">
        <v>47</v>
      </c>
    </row>
    <row r="710" spans="1:29" ht="30">
      <c r="A710" s="21">
        <v>699</v>
      </c>
      <c r="B710" s="1" t="s">
        <v>1231</v>
      </c>
      <c r="C710" s="21" t="s">
        <v>1225</v>
      </c>
      <c r="D710" s="21" t="s">
        <v>180</v>
      </c>
      <c r="E710" s="64" t="s">
        <v>1228</v>
      </c>
      <c r="F710" s="46">
        <v>45943</v>
      </c>
      <c r="H710" s="21" t="s">
        <v>47</v>
      </c>
      <c r="I710" s="52">
        <v>13662</v>
      </c>
      <c r="J710" s="52">
        <v>16750</v>
      </c>
      <c r="S710" s="46">
        <v>45944</v>
      </c>
      <c r="T710" s="46">
        <v>45944</v>
      </c>
      <c r="AC710" s="18" t="s">
        <v>26</v>
      </c>
    </row>
    <row r="711" spans="1:29">
      <c r="A711" s="21">
        <v>700</v>
      </c>
      <c r="C711" s="21" t="s">
        <v>1229</v>
      </c>
      <c r="D711" s="21" t="s">
        <v>180</v>
      </c>
      <c r="E711" s="1" t="s">
        <v>1230</v>
      </c>
      <c r="F711" s="46">
        <v>45943</v>
      </c>
      <c r="H711" s="21" t="s">
        <v>47</v>
      </c>
      <c r="I711" s="52">
        <v>8180</v>
      </c>
      <c r="J711" s="52">
        <v>10940</v>
      </c>
      <c r="K711" s="52">
        <v>6447</v>
      </c>
      <c r="S711" s="46">
        <v>45944</v>
      </c>
      <c r="T711" s="46">
        <v>45944</v>
      </c>
      <c r="U711" s="46">
        <v>45945</v>
      </c>
      <c r="AC711" s="18" t="s">
        <v>26</v>
      </c>
    </row>
    <row r="712" spans="1:29">
      <c r="A712" s="21">
        <v>701</v>
      </c>
      <c r="B712" s="1" t="s">
        <v>88</v>
      </c>
      <c r="C712" s="21">
        <v>2012505101</v>
      </c>
      <c r="D712" s="21" t="s">
        <v>41</v>
      </c>
      <c r="E712" s="1" t="s">
        <v>1232</v>
      </c>
      <c r="F712" s="46">
        <v>45943</v>
      </c>
      <c r="G712" s="46">
        <v>45947</v>
      </c>
      <c r="H712" s="21" t="s">
        <v>47</v>
      </c>
      <c r="I712" s="52">
        <v>4902</v>
      </c>
      <c r="J712" s="79"/>
      <c r="S712" s="46">
        <v>45944</v>
      </c>
      <c r="T712" s="46"/>
      <c r="AC712" s="18" t="s">
        <v>26</v>
      </c>
    </row>
    <row r="713" spans="1:29">
      <c r="A713" s="21">
        <v>702</v>
      </c>
      <c r="B713" s="1" t="s">
        <v>88</v>
      </c>
      <c r="C713" s="21">
        <v>2012505114</v>
      </c>
      <c r="D713" s="21" t="s">
        <v>41</v>
      </c>
      <c r="E713" s="1" t="s">
        <v>1233</v>
      </c>
      <c r="F713" s="46">
        <v>45943</v>
      </c>
      <c r="G713" s="46">
        <v>45947</v>
      </c>
      <c r="H713" s="21" t="s">
        <v>47</v>
      </c>
      <c r="J713" s="79"/>
      <c r="S713" s="46"/>
      <c r="T713" s="46"/>
      <c r="AC713" s="11"/>
    </row>
    <row r="714" spans="1:29">
      <c r="A714" s="21">
        <v>703</v>
      </c>
      <c r="B714" s="1" t="s">
        <v>88</v>
      </c>
      <c r="C714" s="21">
        <v>2012505117</v>
      </c>
      <c r="D714" s="21" t="s">
        <v>41</v>
      </c>
      <c r="E714" s="1" t="s">
        <v>1234</v>
      </c>
      <c r="F714" s="46">
        <v>45943</v>
      </c>
      <c r="G714" s="46">
        <v>45947</v>
      </c>
      <c r="H714" s="21" t="s">
        <v>47</v>
      </c>
      <c r="J714" s="79"/>
      <c r="S714" s="46"/>
      <c r="T714" s="46"/>
      <c r="AC714" s="11"/>
    </row>
    <row r="715" spans="1:29">
      <c r="A715" s="21">
        <v>704</v>
      </c>
      <c r="B715" s="1" t="s">
        <v>88</v>
      </c>
      <c r="C715" s="21">
        <v>2012505120</v>
      </c>
      <c r="D715" s="21" t="s">
        <v>41</v>
      </c>
      <c r="E715" s="1" t="s">
        <v>1235</v>
      </c>
      <c r="F715" s="46">
        <v>45944</v>
      </c>
      <c r="G715" s="46">
        <v>45950</v>
      </c>
      <c r="H715" s="21" t="s">
        <v>47</v>
      </c>
      <c r="I715" s="52">
        <v>8301.2999999999993</v>
      </c>
      <c r="J715" s="79"/>
      <c r="S715" s="46">
        <v>45945</v>
      </c>
      <c r="T715" s="46"/>
      <c r="AC715" s="18" t="s">
        <v>26</v>
      </c>
    </row>
    <row r="716" spans="1:29">
      <c r="A716" s="21">
        <v>705</v>
      </c>
      <c r="B716" s="1" t="s">
        <v>88</v>
      </c>
      <c r="C716" s="21">
        <v>2012505123</v>
      </c>
      <c r="D716" s="21" t="s">
        <v>41</v>
      </c>
      <c r="E716" s="1" t="s">
        <v>1236</v>
      </c>
      <c r="F716" s="46">
        <v>45943</v>
      </c>
      <c r="G716" s="46">
        <v>45947</v>
      </c>
      <c r="H716" s="21" t="s">
        <v>47</v>
      </c>
      <c r="J716" s="79"/>
      <c r="S716" s="46"/>
      <c r="T716" s="46"/>
      <c r="AC716" s="11"/>
    </row>
    <row r="717" spans="1:29">
      <c r="A717" s="21">
        <v>706</v>
      </c>
      <c r="B717" s="1" t="s">
        <v>88</v>
      </c>
      <c r="C717" s="21">
        <v>2012505126</v>
      </c>
      <c r="D717" s="21" t="s">
        <v>41</v>
      </c>
      <c r="E717" s="1" t="s">
        <v>1237</v>
      </c>
      <c r="F717" s="46">
        <v>45943</v>
      </c>
      <c r="G717" s="46">
        <v>45947</v>
      </c>
      <c r="H717" s="21" t="s">
        <v>47</v>
      </c>
      <c r="I717" s="52">
        <v>71576</v>
      </c>
      <c r="J717" s="79"/>
      <c r="S717" s="46">
        <v>45946</v>
      </c>
      <c r="T717" s="46"/>
      <c r="AC717" s="18" t="s">
        <v>26</v>
      </c>
    </row>
    <row r="718" spans="1:29">
      <c r="A718" s="21">
        <v>707</v>
      </c>
      <c r="B718" s="1" t="s">
        <v>88</v>
      </c>
      <c r="C718" s="21">
        <v>2012505129</v>
      </c>
      <c r="D718" s="21" t="s">
        <v>41</v>
      </c>
      <c r="E718" s="1" t="s">
        <v>1238</v>
      </c>
      <c r="F718" s="46">
        <v>45943</v>
      </c>
      <c r="G718" s="46">
        <v>45947</v>
      </c>
      <c r="H718" s="21" t="s">
        <v>47</v>
      </c>
      <c r="I718" s="52">
        <v>4700</v>
      </c>
      <c r="J718" s="79"/>
      <c r="S718" s="46">
        <v>45945</v>
      </c>
      <c r="T718" s="46"/>
      <c r="AC718" s="18" t="s">
        <v>26</v>
      </c>
    </row>
    <row r="719" spans="1:29">
      <c r="A719" s="21">
        <v>708</v>
      </c>
      <c r="B719" s="1" t="s">
        <v>88</v>
      </c>
      <c r="C719" s="21">
        <v>2012505155</v>
      </c>
      <c r="D719" s="21" t="s">
        <v>41</v>
      </c>
      <c r="E719" s="1" t="s">
        <v>1239</v>
      </c>
      <c r="F719" s="46">
        <v>45945</v>
      </c>
      <c r="G719" s="46">
        <v>45951</v>
      </c>
      <c r="H719" s="21" t="s">
        <v>47</v>
      </c>
      <c r="J719" s="79"/>
      <c r="S719" s="46"/>
      <c r="T719" s="46"/>
      <c r="AC719" s="11"/>
    </row>
    <row r="720" spans="1:29">
      <c r="A720" s="21">
        <v>709</v>
      </c>
      <c r="B720" s="1" t="s">
        <v>88</v>
      </c>
      <c r="C720" s="21">
        <v>2012505158</v>
      </c>
      <c r="D720" s="21" t="s">
        <v>41</v>
      </c>
      <c r="E720" s="1" t="s">
        <v>1240</v>
      </c>
      <c r="F720" s="46">
        <v>45945</v>
      </c>
      <c r="G720" s="46">
        <v>45951</v>
      </c>
      <c r="H720" s="21" t="s">
        <v>47</v>
      </c>
      <c r="J720" s="79"/>
      <c r="S720" s="46"/>
      <c r="T720" s="46"/>
      <c r="AC720" s="11"/>
    </row>
    <row r="721" spans="1:29">
      <c r="A721" s="21">
        <v>710</v>
      </c>
      <c r="B721" s="1" t="s">
        <v>88</v>
      </c>
      <c r="C721" s="21">
        <v>2012505161</v>
      </c>
      <c r="D721" s="21" t="s">
        <v>41</v>
      </c>
      <c r="E721" s="1" t="s">
        <v>1241</v>
      </c>
      <c r="F721" s="46">
        <v>45945</v>
      </c>
      <c r="G721" s="46">
        <v>45951</v>
      </c>
      <c r="H721" s="21" t="s">
        <v>47</v>
      </c>
      <c r="J721" s="79"/>
      <c r="S721" s="46"/>
      <c r="T721" s="46"/>
      <c r="AC721" s="11"/>
    </row>
    <row r="722" spans="1:29">
      <c r="A722" s="21">
        <v>711</v>
      </c>
      <c r="B722" s="1" t="s">
        <v>88</v>
      </c>
      <c r="C722" s="21">
        <v>2012505174</v>
      </c>
      <c r="D722" s="21" t="s">
        <v>41</v>
      </c>
      <c r="E722" s="1" t="s">
        <v>1242</v>
      </c>
      <c r="F722" s="46">
        <v>45945</v>
      </c>
      <c r="G722" s="46">
        <v>45951</v>
      </c>
      <c r="H722" s="21" t="s">
        <v>47</v>
      </c>
      <c r="J722" s="79"/>
      <c r="S722" s="46"/>
      <c r="T722" s="46"/>
      <c r="AC722" s="11"/>
    </row>
    <row r="723" spans="1:29">
      <c r="A723" s="21">
        <v>712</v>
      </c>
      <c r="B723" s="1" t="s">
        <v>88</v>
      </c>
      <c r="C723" s="21">
        <v>2012505177</v>
      </c>
      <c r="D723" s="21" t="s">
        <v>41</v>
      </c>
      <c r="E723" s="1" t="s">
        <v>1243</v>
      </c>
      <c r="F723" s="46">
        <v>45945</v>
      </c>
      <c r="G723" s="46">
        <v>45951</v>
      </c>
      <c r="H723" s="21" t="s">
        <v>47</v>
      </c>
      <c r="J723" s="79"/>
      <c r="S723" s="46"/>
      <c r="T723" s="46"/>
      <c r="AC723" s="11"/>
    </row>
    <row r="724" spans="1:29">
      <c r="A724" s="21">
        <v>713</v>
      </c>
      <c r="B724" s="1" t="s">
        <v>88</v>
      </c>
      <c r="C724" s="21">
        <v>2012505180</v>
      </c>
      <c r="D724" s="21" t="s">
        <v>41</v>
      </c>
      <c r="E724" s="1" t="s">
        <v>1244</v>
      </c>
      <c r="F724" s="46">
        <v>45945</v>
      </c>
      <c r="G724" s="46">
        <v>45951</v>
      </c>
      <c r="H724" s="21" t="s">
        <v>47</v>
      </c>
      <c r="J724" s="79"/>
      <c r="S724" s="46"/>
      <c r="T724" s="46"/>
      <c r="AC724" s="11"/>
    </row>
    <row r="725" spans="1:29">
      <c r="A725" s="21">
        <v>714</v>
      </c>
      <c r="B725" s="1" t="s">
        <v>88</v>
      </c>
      <c r="C725" s="21">
        <v>2012505197</v>
      </c>
      <c r="D725" s="21" t="s">
        <v>41</v>
      </c>
      <c r="E725" s="1" t="s">
        <v>1245</v>
      </c>
      <c r="F725" s="46">
        <v>45945</v>
      </c>
      <c r="G725" s="46">
        <v>45951</v>
      </c>
      <c r="H725" s="21" t="s">
        <v>47</v>
      </c>
      <c r="J725" s="79"/>
      <c r="S725" s="46"/>
      <c r="T725" s="46"/>
      <c r="AC725" s="11"/>
    </row>
    <row r="726" spans="1:29">
      <c r="A726" s="21">
        <v>715</v>
      </c>
      <c r="B726" s="1" t="s">
        <v>94</v>
      </c>
      <c r="C726" s="21" t="s">
        <v>1247</v>
      </c>
      <c r="D726" s="21" t="s">
        <v>180</v>
      </c>
      <c r="E726" s="1" t="s">
        <v>1246</v>
      </c>
      <c r="F726" s="46">
        <v>45945</v>
      </c>
      <c r="H726" s="21" t="s">
        <v>47</v>
      </c>
      <c r="AC726" s="11"/>
    </row>
    <row r="727" spans="1:29">
      <c r="A727" s="21">
        <v>716</v>
      </c>
      <c r="B727" s="1" t="s">
        <v>91</v>
      </c>
      <c r="C727" s="21" t="s">
        <v>1249</v>
      </c>
      <c r="D727" s="21" t="s">
        <v>180</v>
      </c>
      <c r="E727" s="64" t="s">
        <v>1248</v>
      </c>
      <c r="F727" s="46">
        <v>45946</v>
      </c>
      <c r="G727" s="46">
        <v>45959</v>
      </c>
      <c r="H727" s="21" t="s">
        <v>47</v>
      </c>
      <c r="AC727" s="11"/>
    </row>
    <row r="728" spans="1:29">
      <c r="A728" s="21">
        <v>717</v>
      </c>
      <c r="B728" s="64" t="s">
        <v>1252</v>
      </c>
      <c r="C728" s="21" t="s">
        <v>1250</v>
      </c>
      <c r="D728" s="21" t="s">
        <v>180</v>
      </c>
      <c r="E728" s="1" t="s">
        <v>1251</v>
      </c>
      <c r="F728" s="46">
        <v>45946</v>
      </c>
      <c r="H728" s="21" t="s">
        <v>47</v>
      </c>
      <c r="I728" s="52">
        <v>18397.899999999998</v>
      </c>
      <c r="S728" s="46">
        <v>45951</v>
      </c>
      <c r="AC728" s="18" t="s">
        <v>26</v>
      </c>
    </row>
    <row r="729" spans="1:29">
      <c r="A729" s="21">
        <v>718</v>
      </c>
      <c r="B729" s="1" t="s">
        <v>95</v>
      </c>
      <c r="C729" s="21" t="s">
        <v>1253</v>
      </c>
      <c r="D729" s="21" t="s">
        <v>180</v>
      </c>
      <c r="E729" s="1" t="s">
        <v>1254</v>
      </c>
      <c r="F729" s="46">
        <v>45946</v>
      </c>
      <c r="H729" s="21" t="s">
        <v>47</v>
      </c>
      <c r="I729" s="52">
        <v>1094.8399999999999</v>
      </c>
      <c r="J729" s="52">
        <v>31223.64</v>
      </c>
      <c r="S729" s="46">
        <v>45953</v>
      </c>
      <c r="T729" s="46">
        <v>45954</v>
      </c>
      <c r="AC729" s="18" t="s">
        <v>26</v>
      </c>
    </row>
    <row r="730" spans="1:29">
      <c r="A730" s="21">
        <v>719</v>
      </c>
      <c r="B730" s="1" t="s">
        <v>95</v>
      </c>
      <c r="C730" s="21" t="s">
        <v>1255</v>
      </c>
      <c r="D730" s="21" t="s">
        <v>180</v>
      </c>
      <c r="E730" s="1" t="s">
        <v>1256</v>
      </c>
      <c r="F730" s="46">
        <v>45946</v>
      </c>
      <c r="H730" s="21" t="s">
        <v>47</v>
      </c>
      <c r="I730" s="52">
        <v>1255</v>
      </c>
      <c r="J730" s="52">
        <v>2258.86</v>
      </c>
      <c r="K730" s="52">
        <v>840</v>
      </c>
      <c r="L730" s="52">
        <v>4476</v>
      </c>
      <c r="M730" s="52">
        <v>2205</v>
      </c>
      <c r="S730" s="46">
        <v>45952</v>
      </c>
      <c r="T730" s="46">
        <v>45953</v>
      </c>
      <c r="U730" s="46">
        <v>45953</v>
      </c>
      <c r="V730" s="46">
        <v>45953</v>
      </c>
      <c r="W730" s="46">
        <v>45954</v>
      </c>
      <c r="AC730" s="18" t="s">
        <v>26</v>
      </c>
    </row>
    <row r="731" spans="1:29">
      <c r="A731" s="21">
        <v>720</v>
      </c>
      <c r="B731" s="1" t="s">
        <v>95</v>
      </c>
      <c r="C731" s="21" t="s">
        <v>1257</v>
      </c>
      <c r="D731" s="21" t="s">
        <v>180</v>
      </c>
      <c r="E731" s="1" t="s">
        <v>1258</v>
      </c>
      <c r="F731" s="46">
        <v>45946</v>
      </c>
      <c r="H731" s="21" t="s">
        <v>47</v>
      </c>
      <c r="I731" s="52">
        <v>3079.13</v>
      </c>
      <c r="S731" s="46">
        <v>45954</v>
      </c>
      <c r="AC731" s="18" t="s">
        <v>26</v>
      </c>
    </row>
    <row r="732" spans="1:29">
      <c r="A732" s="21">
        <v>721</v>
      </c>
      <c r="B732" s="1" t="s">
        <v>91</v>
      </c>
      <c r="C732" s="21" t="s">
        <v>1259</v>
      </c>
      <c r="D732" s="21" t="s">
        <v>180</v>
      </c>
      <c r="E732" s="1" t="s">
        <v>1260</v>
      </c>
      <c r="F732" s="46">
        <v>45951</v>
      </c>
      <c r="H732" s="21" t="s">
        <v>47</v>
      </c>
      <c r="I732" s="52">
        <v>20900</v>
      </c>
      <c r="J732" s="52">
        <v>164955</v>
      </c>
      <c r="S732" s="46">
        <v>45953</v>
      </c>
      <c r="T732" s="46">
        <v>45953</v>
      </c>
      <c r="AC732" s="18" t="s">
        <v>26</v>
      </c>
    </row>
    <row r="733" spans="1:29">
      <c r="A733" s="21">
        <v>722</v>
      </c>
      <c r="B733" s="1" t="s">
        <v>91</v>
      </c>
      <c r="C733" s="21" t="s">
        <v>1261</v>
      </c>
      <c r="D733" s="21" t="s">
        <v>180</v>
      </c>
      <c r="E733" s="1" t="s">
        <v>1262</v>
      </c>
      <c r="F733" s="46">
        <v>45951</v>
      </c>
      <c r="H733" s="21" t="s">
        <v>47</v>
      </c>
      <c r="I733" s="52">
        <v>5040</v>
      </c>
      <c r="J733" s="52">
        <v>6375</v>
      </c>
      <c r="K733" s="52">
        <v>18464.04</v>
      </c>
      <c r="S733" s="46">
        <v>45953</v>
      </c>
      <c r="T733" s="46">
        <v>45953</v>
      </c>
      <c r="U733" s="46">
        <v>45957</v>
      </c>
      <c r="AC733" s="18" t="s">
        <v>26</v>
      </c>
    </row>
    <row r="734" spans="1:29">
      <c r="A734" s="21">
        <v>723</v>
      </c>
      <c r="B734" s="1" t="s">
        <v>91</v>
      </c>
      <c r="C734" s="21" t="s">
        <v>1263</v>
      </c>
      <c r="D734" s="21" t="s">
        <v>180</v>
      </c>
      <c r="E734" s="1" t="s">
        <v>1264</v>
      </c>
      <c r="F734" s="46">
        <v>45951</v>
      </c>
      <c r="H734" s="21" t="s">
        <v>47</v>
      </c>
      <c r="I734" s="52">
        <v>385.61</v>
      </c>
      <c r="S734" s="46">
        <v>45954</v>
      </c>
      <c r="AC734" s="18" t="s">
        <v>26</v>
      </c>
    </row>
    <row r="735" spans="1:29">
      <c r="A735" s="21">
        <v>724</v>
      </c>
      <c r="B735" s="1" t="s">
        <v>91</v>
      </c>
      <c r="C735" s="21" t="s">
        <v>1267</v>
      </c>
      <c r="D735" s="21" t="s">
        <v>180</v>
      </c>
      <c r="E735" s="1" t="s">
        <v>1268</v>
      </c>
      <c r="F735" s="46">
        <v>45951</v>
      </c>
      <c r="H735" s="21" t="s">
        <v>47</v>
      </c>
      <c r="I735" s="52">
        <v>39543.82</v>
      </c>
      <c r="S735" s="46">
        <v>45957</v>
      </c>
      <c r="AC735" s="18" t="s">
        <v>26</v>
      </c>
    </row>
    <row r="736" spans="1:29">
      <c r="A736" s="21">
        <v>725</v>
      </c>
      <c r="B736" s="1" t="s">
        <v>95</v>
      </c>
      <c r="C736" s="21" t="s">
        <v>1269</v>
      </c>
      <c r="D736" s="21" t="s">
        <v>180</v>
      </c>
      <c r="E736" s="1" t="s">
        <v>1270</v>
      </c>
      <c r="F736" s="46">
        <v>45952</v>
      </c>
      <c r="H736" s="21" t="s">
        <v>47</v>
      </c>
      <c r="AC736" s="11"/>
    </row>
    <row r="737" spans="1:29" ht="30">
      <c r="A737" s="21">
        <v>726</v>
      </c>
      <c r="B737" s="1" t="s">
        <v>1252</v>
      </c>
      <c r="C737" s="21" t="s">
        <v>1271</v>
      </c>
      <c r="D737" s="21" t="s">
        <v>180</v>
      </c>
      <c r="E737" s="64" t="s">
        <v>1272</v>
      </c>
      <c r="F737" s="46">
        <v>45952</v>
      </c>
      <c r="H737" s="21" t="s">
        <v>47</v>
      </c>
      <c r="I737" s="52">
        <v>769.5</v>
      </c>
      <c r="J737" s="52">
        <v>1148</v>
      </c>
      <c r="K737" s="52">
        <v>3505</v>
      </c>
      <c r="S737" s="46">
        <v>45955</v>
      </c>
      <c r="T737" s="46">
        <v>45955</v>
      </c>
      <c r="U737" s="46">
        <v>45959</v>
      </c>
      <c r="AC737" s="18" t="s">
        <v>26</v>
      </c>
    </row>
    <row r="738" spans="1:29">
      <c r="A738" s="21">
        <v>727</v>
      </c>
      <c r="B738" s="1" t="s">
        <v>95</v>
      </c>
      <c r="C738" s="21" t="s">
        <v>1273</v>
      </c>
      <c r="D738" s="21" t="s">
        <v>180</v>
      </c>
      <c r="E738" s="1" t="s">
        <v>1274</v>
      </c>
      <c r="F738" s="46">
        <v>45952</v>
      </c>
      <c r="H738" s="21" t="s">
        <v>47</v>
      </c>
      <c r="I738" s="52">
        <v>14861.69</v>
      </c>
      <c r="S738" s="46">
        <v>45957</v>
      </c>
      <c r="AC738" s="18" t="s">
        <v>26</v>
      </c>
    </row>
    <row r="739" spans="1:29">
      <c r="A739" s="21">
        <v>728</v>
      </c>
      <c r="B739" s="1" t="s">
        <v>95</v>
      </c>
      <c r="C739" s="21" t="s">
        <v>1275</v>
      </c>
      <c r="D739" s="21" t="s">
        <v>180</v>
      </c>
      <c r="E739" s="1" t="s">
        <v>1276</v>
      </c>
      <c r="F739" s="46">
        <v>45952</v>
      </c>
      <c r="H739" s="21" t="s">
        <v>47</v>
      </c>
      <c r="I739" s="52">
        <v>262392.21999999997</v>
      </c>
      <c r="S739" s="46">
        <v>45958</v>
      </c>
      <c r="AC739" s="18" t="s">
        <v>26</v>
      </c>
    </row>
    <row r="740" spans="1:29">
      <c r="A740" s="21">
        <v>729</v>
      </c>
      <c r="B740" s="1" t="s">
        <v>95</v>
      </c>
      <c r="C740" s="21" t="s">
        <v>1277</v>
      </c>
      <c r="D740" s="21" t="s">
        <v>180</v>
      </c>
      <c r="E740" s="1" t="s">
        <v>1278</v>
      </c>
      <c r="F740" s="46">
        <v>45953</v>
      </c>
      <c r="H740" s="21" t="s">
        <v>47</v>
      </c>
    </row>
    <row r="741" spans="1:29">
      <c r="A741" s="21">
        <v>730</v>
      </c>
      <c r="C741" s="21" t="s">
        <v>1279</v>
      </c>
      <c r="D741" s="21" t="s">
        <v>180</v>
      </c>
      <c r="E741" s="1" t="s">
        <v>1286</v>
      </c>
      <c r="F741" s="46">
        <v>45953</v>
      </c>
      <c r="H741" s="21" t="s">
        <v>47</v>
      </c>
      <c r="I741" s="52">
        <v>34380</v>
      </c>
      <c r="J741" s="52">
        <v>17572</v>
      </c>
      <c r="K741" s="52">
        <v>18049.5</v>
      </c>
      <c r="S741" s="46">
        <v>45957</v>
      </c>
      <c r="T741" s="46">
        <v>45957</v>
      </c>
      <c r="U741" s="46">
        <v>45959</v>
      </c>
      <c r="AC741" s="18" t="s">
        <v>26</v>
      </c>
    </row>
    <row r="742" spans="1:29">
      <c r="A742" s="21">
        <v>731</v>
      </c>
      <c r="B742" s="1" t="s">
        <v>96</v>
      </c>
      <c r="C742" s="66" t="s">
        <v>1265</v>
      </c>
      <c r="D742" s="21" t="s">
        <v>180</v>
      </c>
      <c r="E742" s="1" t="s">
        <v>1266</v>
      </c>
      <c r="F742" s="46">
        <v>45953</v>
      </c>
      <c r="H742" s="21" t="s">
        <v>47</v>
      </c>
      <c r="I742" s="52">
        <v>392</v>
      </c>
      <c r="J742" s="52">
        <v>47400</v>
      </c>
      <c r="K742" s="52">
        <v>1635</v>
      </c>
      <c r="S742" s="46">
        <v>45954</v>
      </c>
      <c r="T742" s="46">
        <v>45954</v>
      </c>
      <c r="U742" s="46">
        <v>45954</v>
      </c>
      <c r="AC742" s="18" t="s">
        <v>26</v>
      </c>
    </row>
    <row r="743" spans="1:29">
      <c r="A743" s="21">
        <v>732</v>
      </c>
      <c r="B743" s="1" t="s">
        <v>91</v>
      </c>
      <c r="C743" s="21" t="s">
        <v>1280</v>
      </c>
      <c r="D743" s="21" t="s">
        <v>180</v>
      </c>
      <c r="E743" s="64" t="s">
        <v>1281</v>
      </c>
      <c r="F743" s="46">
        <v>45953</v>
      </c>
      <c r="H743" s="21" t="s">
        <v>47</v>
      </c>
    </row>
    <row r="744" spans="1:29" ht="30">
      <c r="A744" s="21">
        <v>733</v>
      </c>
      <c r="B744" s="1" t="s">
        <v>91</v>
      </c>
      <c r="C744" s="21" t="s">
        <v>1282</v>
      </c>
      <c r="D744" s="21" t="s">
        <v>180</v>
      </c>
      <c r="E744" s="64" t="s">
        <v>1283</v>
      </c>
      <c r="F744" s="46">
        <v>45953</v>
      </c>
      <c r="H744" s="21" t="s">
        <v>47</v>
      </c>
    </row>
    <row r="745" spans="1:29">
      <c r="A745" s="21">
        <v>734</v>
      </c>
      <c r="B745" s="1" t="s">
        <v>95</v>
      </c>
      <c r="C745" s="21" t="s">
        <v>1284</v>
      </c>
      <c r="D745" s="21" t="s">
        <v>180</v>
      </c>
      <c r="E745" s="1" t="s">
        <v>1285</v>
      </c>
      <c r="F745" s="46">
        <v>45955</v>
      </c>
      <c r="H745" s="21" t="s">
        <v>47</v>
      </c>
      <c r="I745" s="52">
        <v>315</v>
      </c>
      <c r="S745" s="46">
        <v>45958</v>
      </c>
      <c r="AC745" s="18" t="s">
        <v>26</v>
      </c>
    </row>
    <row r="746" spans="1:29">
      <c r="A746" s="21">
        <v>735</v>
      </c>
      <c r="B746" s="1" t="s">
        <v>95</v>
      </c>
      <c r="C746" s="21" t="s">
        <v>1287</v>
      </c>
      <c r="D746" s="21" t="s">
        <v>180</v>
      </c>
      <c r="E746" s="1" t="s">
        <v>1288</v>
      </c>
      <c r="F746" s="46">
        <v>45958</v>
      </c>
      <c r="H746" s="21" t="s">
        <v>47</v>
      </c>
      <c r="S746" s="46"/>
      <c r="AC746" s="11"/>
    </row>
    <row r="747" spans="1:29">
      <c r="A747" s="21">
        <v>736</v>
      </c>
      <c r="B747" s="1" t="s">
        <v>1297</v>
      </c>
      <c r="C747" s="21" t="s">
        <v>1295</v>
      </c>
      <c r="D747" s="21" t="s">
        <v>1124</v>
      </c>
      <c r="E747" s="1" t="s">
        <v>1296</v>
      </c>
      <c r="F747" s="46">
        <v>45959</v>
      </c>
      <c r="H747" s="21" t="s">
        <v>47</v>
      </c>
      <c r="I747" s="52">
        <v>1856.11</v>
      </c>
      <c r="S747" s="46">
        <v>45960</v>
      </c>
      <c r="AC747" s="18" t="s">
        <v>26</v>
      </c>
    </row>
    <row r="748" spans="1:29">
      <c r="A748" s="21">
        <v>737</v>
      </c>
      <c r="B748" s="1" t="s">
        <v>88</v>
      </c>
      <c r="C748" s="21">
        <v>2012505407</v>
      </c>
      <c r="D748" s="21" t="s">
        <v>41</v>
      </c>
      <c r="E748" s="1" t="s">
        <v>1289</v>
      </c>
      <c r="F748" s="46">
        <v>45958</v>
      </c>
      <c r="G748" s="46">
        <v>45964</v>
      </c>
      <c r="H748" s="21" t="s">
        <v>47</v>
      </c>
      <c r="I748" s="52">
        <v>4645.82</v>
      </c>
      <c r="S748" s="46">
        <v>45960</v>
      </c>
      <c r="AC748" s="18" t="s">
        <v>26</v>
      </c>
    </row>
    <row r="749" spans="1:29">
      <c r="A749" s="21">
        <v>738</v>
      </c>
      <c r="B749" s="1" t="s">
        <v>88</v>
      </c>
      <c r="C749" s="21">
        <v>2012505410</v>
      </c>
      <c r="D749" s="21" t="s">
        <v>41</v>
      </c>
      <c r="E749" s="1" t="s">
        <v>1290</v>
      </c>
      <c r="F749" s="46">
        <v>45958</v>
      </c>
      <c r="G749" s="46">
        <v>45964</v>
      </c>
      <c r="H749" s="21" t="s">
        <v>47</v>
      </c>
      <c r="I749" s="52">
        <v>13265</v>
      </c>
      <c r="S749" s="46">
        <v>45961</v>
      </c>
      <c r="AC749" s="18" t="s">
        <v>26</v>
      </c>
    </row>
    <row r="750" spans="1:29">
      <c r="A750" s="21">
        <v>739</v>
      </c>
      <c r="B750" s="1" t="s">
        <v>88</v>
      </c>
      <c r="C750" s="21">
        <v>2012505413</v>
      </c>
      <c r="D750" s="21" t="s">
        <v>41</v>
      </c>
      <c r="E750" s="1" t="s">
        <v>1291</v>
      </c>
      <c r="F750" s="46">
        <v>45958</v>
      </c>
      <c r="G750" s="46">
        <v>45964</v>
      </c>
      <c r="H750" s="21" t="s">
        <v>47</v>
      </c>
      <c r="S750" s="46"/>
      <c r="AC750" s="11"/>
    </row>
    <row r="751" spans="1:29">
      <c r="A751" s="21">
        <v>740</v>
      </c>
      <c r="B751" s="1" t="s">
        <v>88</v>
      </c>
      <c r="C751" s="21">
        <v>2012505417</v>
      </c>
      <c r="D751" s="21" t="s">
        <v>41</v>
      </c>
      <c r="E751" s="1" t="s">
        <v>1292</v>
      </c>
      <c r="F751" s="46">
        <v>45959</v>
      </c>
      <c r="G751" s="46">
        <v>45965</v>
      </c>
      <c r="H751" s="21" t="s">
        <v>47</v>
      </c>
      <c r="I751" s="52">
        <v>1155</v>
      </c>
      <c r="S751" s="46">
        <v>45960</v>
      </c>
      <c r="AC751" s="18" t="s">
        <v>26</v>
      </c>
    </row>
    <row r="752" spans="1:29" ht="30">
      <c r="A752" s="21">
        <v>741</v>
      </c>
      <c r="B752" s="1" t="s">
        <v>866</v>
      </c>
      <c r="C752" s="21" t="s">
        <v>1293</v>
      </c>
      <c r="D752" s="21" t="s">
        <v>180</v>
      </c>
      <c r="E752" s="64" t="s">
        <v>1294</v>
      </c>
      <c r="F752" s="46">
        <v>45960</v>
      </c>
      <c r="H752" s="21" t="s">
        <v>47</v>
      </c>
      <c r="I752">
        <v>446.25</v>
      </c>
      <c r="S752" s="46">
        <v>45961</v>
      </c>
      <c r="AC752" s="18" t="s">
        <v>26</v>
      </c>
    </row>
    <row r="753" spans="1:29" ht="30">
      <c r="A753" s="21">
        <v>742</v>
      </c>
      <c r="B753" s="1" t="s">
        <v>866</v>
      </c>
      <c r="C753" s="21" t="s">
        <v>1298</v>
      </c>
      <c r="D753" s="21" t="s">
        <v>180</v>
      </c>
      <c r="E753" s="64" t="s">
        <v>1299</v>
      </c>
      <c r="F753" s="46">
        <v>45960</v>
      </c>
      <c r="H753" s="21" t="s">
        <v>47</v>
      </c>
      <c r="I753" s="52">
        <v>170</v>
      </c>
      <c r="S753" s="46">
        <v>45727</v>
      </c>
      <c r="AC753" s="18" t="s">
        <v>26</v>
      </c>
    </row>
    <row r="754" spans="1:29" ht="30">
      <c r="A754" s="21">
        <v>743</v>
      </c>
      <c r="B754" s="1" t="s">
        <v>866</v>
      </c>
      <c r="C754" s="21" t="s">
        <v>1300</v>
      </c>
      <c r="D754" s="21" t="s">
        <v>180</v>
      </c>
      <c r="E754" s="64" t="s">
        <v>1301</v>
      </c>
      <c r="F754" s="46">
        <v>45960</v>
      </c>
      <c r="H754" s="21" t="s">
        <v>47</v>
      </c>
    </row>
    <row r="755" spans="1:29" ht="30">
      <c r="A755" s="21">
        <v>744</v>
      </c>
      <c r="B755" s="1" t="s">
        <v>866</v>
      </c>
      <c r="C755" s="21" t="s">
        <v>1302</v>
      </c>
      <c r="D755" s="21" t="s">
        <v>180</v>
      </c>
      <c r="E755" s="64" t="s">
        <v>1303</v>
      </c>
      <c r="F755" s="46">
        <v>45961</v>
      </c>
      <c r="H755" s="21" t="s">
        <v>47</v>
      </c>
      <c r="I755" s="52">
        <v>780.02</v>
      </c>
      <c r="J755" s="52">
        <v>3727.5</v>
      </c>
      <c r="K755" s="52">
        <v>141.75</v>
      </c>
      <c r="S755" s="46">
        <v>45758</v>
      </c>
      <c r="T755" s="46">
        <v>45788</v>
      </c>
      <c r="U755" s="46">
        <v>45758</v>
      </c>
      <c r="AC755" s="18" t="s">
        <v>26</v>
      </c>
    </row>
    <row r="756" spans="1:29">
      <c r="A756" s="21">
        <v>745</v>
      </c>
      <c r="B756" s="1" t="s">
        <v>866</v>
      </c>
      <c r="C756" s="21" t="s">
        <v>1304</v>
      </c>
      <c r="D756" s="21" t="s">
        <v>180</v>
      </c>
      <c r="E756" s="1" t="s">
        <v>1305</v>
      </c>
      <c r="F756" s="46">
        <v>45964</v>
      </c>
      <c r="H756" s="21" t="s">
        <v>47</v>
      </c>
      <c r="I756" s="52">
        <v>861</v>
      </c>
      <c r="J756" s="52">
        <v>1260</v>
      </c>
      <c r="K756" s="52">
        <v>1103</v>
      </c>
      <c r="L756" s="52">
        <v>210</v>
      </c>
      <c r="M756" s="52">
        <v>20632.5</v>
      </c>
      <c r="S756" s="46">
        <v>45819</v>
      </c>
      <c r="T756" s="46">
        <v>45758</v>
      </c>
      <c r="U756" s="46">
        <v>45788</v>
      </c>
      <c r="V756" s="46">
        <v>45788</v>
      </c>
      <c r="W756" s="46">
        <v>45849</v>
      </c>
      <c r="AC756" s="18" t="s">
        <v>26</v>
      </c>
    </row>
    <row r="757" spans="1:29" ht="30">
      <c r="A757" s="21">
        <v>746</v>
      </c>
      <c r="B757" s="1" t="s">
        <v>866</v>
      </c>
      <c r="C757" s="66" t="s">
        <v>1306</v>
      </c>
      <c r="D757" s="21" t="s">
        <v>180</v>
      </c>
      <c r="E757" s="64" t="s">
        <v>1307</v>
      </c>
      <c r="F757" s="46">
        <v>45965</v>
      </c>
      <c r="H757" s="21" t="s">
        <v>47</v>
      </c>
    </row>
    <row r="758" spans="1:29">
      <c r="A758" s="21">
        <v>747</v>
      </c>
      <c r="B758" s="1" t="s">
        <v>866</v>
      </c>
      <c r="C758" s="21" t="s">
        <v>1308</v>
      </c>
      <c r="D758" s="21" t="s">
        <v>180</v>
      </c>
      <c r="E758" s="1" t="s">
        <v>1309</v>
      </c>
      <c r="F758" s="46">
        <v>45965</v>
      </c>
      <c r="H758" s="21" t="s">
        <v>47</v>
      </c>
    </row>
    <row r="759" spans="1:29">
      <c r="A759" s="21">
        <v>748</v>
      </c>
      <c r="B759" s="1" t="s">
        <v>866</v>
      </c>
      <c r="C759" s="21" t="s">
        <v>1310</v>
      </c>
      <c r="D759" s="21" t="s">
        <v>180</v>
      </c>
      <c r="E759" s="1" t="s">
        <v>1311</v>
      </c>
      <c r="F759" s="46">
        <v>45965</v>
      </c>
      <c r="H759" s="21" t="s">
        <v>47</v>
      </c>
    </row>
    <row r="760" spans="1:29" ht="30">
      <c r="A760" s="21">
        <v>749</v>
      </c>
      <c r="B760" s="1" t="s">
        <v>866</v>
      </c>
      <c r="C760" s="21" t="s">
        <v>1318</v>
      </c>
      <c r="D760" s="21" t="s">
        <v>180</v>
      </c>
      <c r="E760" s="64" t="s">
        <v>1319</v>
      </c>
      <c r="F760" s="46">
        <v>45965</v>
      </c>
      <c r="H760" s="21" t="s">
        <v>47</v>
      </c>
    </row>
    <row r="761" spans="1:29" ht="30">
      <c r="A761" s="21">
        <v>750</v>
      </c>
      <c r="B761" s="1" t="s">
        <v>866</v>
      </c>
      <c r="C761" s="21" t="s">
        <v>1312</v>
      </c>
      <c r="D761" s="21" t="s">
        <v>180</v>
      </c>
      <c r="E761" s="64" t="s">
        <v>1313</v>
      </c>
      <c r="F761" s="46">
        <v>45965</v>
      </c>
      <c r="H761" s="21" t="s">
        <v>47</v>
      </c>
      <c r="I761" s="52">
        <v>8825.01</v>
      </c>
      <c r="S761" s="46">
        <v>45819</v>
      </c>
      <c r="AC761" s="18" t="s">
        <v>26</v>
      </c>
    </row>
    <row r="762" spans="1:29" ht="30">
      <c r="A762" s="21">
        <v>751</v>
      </c>
      <c r="B762" s="1" t="s">
        <v>866</v>
      </c>
      <c r="C762" s="21" t="s">
        <v>1314</v>
      </c>
      <c r="D762" s="21" t="s">
        <v>180</v>
      </c>
      <c r="E762" s="64" t="s">
        <v>1317</v>
      </c>
      <c r="F762" s="46">
        <v>45965</v>
      </c>
      <c r="H762" s="21" t="s">
        <v>47</v>
      </c>
    </row>
    <row r="763" spans="1:29" ht="30">
      <c r="A763" s="21">
        <v>752</v>
      </c>
      <c r="B763" s="1" t="s">
        <v>866</v>
      </c>
      <c r="C763" s="21" t="s">
        <v>1315</v>
      </c>
      <c r="D763" s="21" t="s">
        <v>180</v>
      </c>
      <c r="E763" s="64" t="s">
        <v>1316</v>
      </c>
      <c r="F763" s="46">
        <v>45965</v>
      </c>
      <c r="H763" s="21" t="s">
        <v>47</v>
      </c>
    </row>
    <row r="764" spans="1:29">
      <c r="A764" s="21">
        <v>753</v>
      </c>
      <c r="B764" s="1" t="s">
        <v>866</v>
      </c>
      <c r="C764" s="21" t="s">
        <v>1324</v>
      </c>
      <c r="D764" s="21" t="s">
        <v>180</v>
      </c>
      <c r="E764" s="64" t="s">
        <v>1325</v>
      </c>
      <c r="F764" s="46">
        <v>45965</v>
      </c>
      <c r="H764" s="21" t="s">
        <v>47</v>
      </c>
    </row>
    <row r="765" spans="1:29">
      <c r="A765" s="21">
        <v>754</v>
      </c>
      <c r="B765" s="1" t="s">
        <v>91</v>
      </c>
      <c r="C765" s="21" t="s">
        <v>1320</v>
      </c>
      <c r="D765" s="21" t="s">
        <v>180</v>
      </c>
      <c r="E765" s="1" t="s">
        <v>1321</v>
      </c>
      <c r="F765" s="46">
        <v>45966</v>
      </c>
      <c r="H765" s="21" t="s">
        <v>47</v>
      </c>
    </row>
    <row r="766" spans="1:29">
      <c r="A766" s="21">
        <v>755</v>
      </c>
      <c r="B766" s="1" t="s">
        <v>95</v>
      </c>
      <c r="C766" s="21" t="s">
        <v>1323</v>
      </c>
      <c r="D766" s="21" t="s">
        <v>180</v>
      </c>
      <c r="E766" s="1" t="s">
        <v>1322</v>
      </c>
      <c r="F766" s="46">
        <v>45966</v>
      </c>
      <c r="H766" s="21" t="s">
        <v>47</v>
      </c>
      <c r="I766" s="52">
        <v>8935.5</v>
      </c>
      <c r="J766" s="52">
        <v>14299.740000000002</v>
      </c>
      <c r="K766" s="52">
        <v>1709.4</v>
      </c>
      <c r="L766" s="52">
        <v>34650</v>
      </c>
      <c r="M766" s="52">
        <v>1012.15</v>
      </c>
      <c r="N766" s="52">
        <v>1228.5</v>
      </c>
      <c r="O766" s="52">
        <v>15750</v>
      </c>
      <c r="P766" s="52">
        <v>30397.5</v>
      </c>
      <c r="Q766" s="52">
        <v>245236.35</v>
      </c>
      <c r="S766" s="46">
        <v>45941</v>
      </c>
      <c r="T766" s="46">
        <v>45941</v>
      </c>
      <c r="U766" s="46">
        <v>45972</v>
      </c>
      <c r="V766" s="46">
        <v>45941</v>
      </c>
      <c r="W766" s="46">
        <v>45972</v>
      </c>
      <c r="X766" s="46">
        <v>45941</v>
      </c>
      <c r="Y766" s="46">
        <v>45972</v>
      </c>
      <c r="Z766" s="46">
        <v>45972</v>
      </c>
      <c r="AA766" s="46">
        <v>46002</v>
      </c>
      <c r="AC766" s="18" t="s">
        <v>26</v>
      </c>
    </row>
    <row r="767" spans="1:29">
      <c r="A767" s="21">
        <v>756</v>
      </c>
      <c r="B767" s="1" t="s">
        <v>91</v>
      </c>
      <c r="C767" s="21" t="s">
        <v>1326</v>
      </c>
      <c r="D767" s="21" t="s">
        <v>180</v>
      </c>
      <c r="E767" s="64" t="s">
        <v>1327</v>
      </c>
      <c r="F767" s="46">
        <v>45971</v>
      </c>
      <c r="H767" s="21" t="s">
        <v>47</v>
      </c>
      <c r="I767" s="52">
        <v>7176.75</v>
      </c>
      <c r="J767" s="52">
        <v>299.77999999999997</v>
      </c>
      <c r="S767" s="46">
        <v>45972</v>
      </c>
      <c r="T767" s="46">
        <v>45972</v>
      </c>
      <c r="AC767" s="18" t="s">
        <v>26</v>
      </c>
    </row>
    <row r="768" spans="1:29">
      <c r="A768" s="21">
        <v>757</v>
      </c>
      <c r="B768" s="1" t="s">
        <v>91</v>
      </c>
      <c r="C768" s="21" t="s">
        <v>1328</v>
      </c>
      <c r="D768" s="21" t="s">
        <v>180</v>
      </c>
      <c r="E768" s="1" t="s">
        <v>1329</v>
      </c>
      <c r="F768" s="46">
        <v>45971</v>
      </c>
      <c r="H768" s="21" t="s">
        <v>47</v>
      </c>
    </row>
    <row r="769" spans="1:29">
      <c r="A769" s="21">
        <v>758</v>
      </c>
      <c r="B769" s="1" t="s">
        <v>95</v>
      </c>
      <c r="C769" s="21" t="s">
        <v>1330</v>
      </c>
      <c r="D769" s="21" t="s">
        <v>180</v>
      </c>
      <c r="E769" s="1" t="s">
        <v>1331</v>
      </c>
      <c r="F769" s="46">
        <v>45972</v>
      </c>
      <c r="G769" s="46">
        <v>45978</v>
      </c>
      <c r="H769" s="21" t="s">
        <v>47</v>
      </c>
    </row>
    <row r="770" spans="1:29">
      <c r="A770" s="21">
        <v>759</v>
      </c>
      <c r="B770" s="1" t="s">
        <v>95</v>
      </c>
      <c r="C770" s="21" t="s">
        <v>1332</v>
      </c>
      <c r="D770" s="21" t="s">
        <v>180</v>
      </c>
      <c r="E770" s="1" t="s">
        <v>1333</v>
      </c>
      <c r="F770" s="46">
        <v>45972</v>
      </c>
      <c r="G770" s="46">
        <v>45978</v>
      </c>
      <c r="H770" s="21" t="s">
        <v>47</v>
      </c>
    </row>
    <row r="771" spans="1:29">
      <c r="A771" s="21">
        <v>760</v>
      </c>
      <c r="B771" s="1" t="s">
        <v>91</v>
      </c>
      <c r="C771" s="21" t="s">
        <v>1334</v>
      </c>
      <c r="D771" s="21" t="s">
        <v>180</v>
      </c>
      <c r="E771" s="64" t="s">
        <v>1335</v>
      </c>
      <c r="F771" s="46">
        <v>45972</v>
      </c>
      <c r="H771" s="21" t="s">
        <v>47</v>
      </c>
      <c r="I771" s="52">
        <v>3049.2</v>
      </c>
      <c r="J771" s="52">
        <v>1874.25</v>
      </c>
      <c r="S771" s="46">
        <v>46002</v>
      </c>
      <c r="T771" s="21" t="s">
        <v>1570</v>
      </c>
      <c r="AC771" s="18" t="s">
        <v>26</v>
      </c>
    </row>
    <row r="772" spans="1:29">
      <c r="A772" s="21">
        <v>761</v>
      </c>
      <c r="C772" s="21" t="s">
        <v>1336</v>
      </c>
      <c r="D772" s="21" t="s">
        <v>180</v>
      </c>
      <c r="E772" s="1" t="s">
        <v>1337</v>
      </c>
      <c r="F772" s="46">
        <v>45973</v>
      </c>
      <c r="H772" s="21" t="s">
        <v>47</v>
      </c>
    </row>
    <row r="773" spans="1:29">
      <c r="A773" s="21">
        <v>762</v>
      </c>
      <c r="C773" s="21" t="s">
        <v>1338</v>
      </c>
      <c r="D773" s="21" t="s">
        <v>180</v>
      </c>
      <c r="E773" s="1" t="s">
        <v>1339</v>
      </c>
      <c r="F773" s="46">
        <v>45973</v>
      </c>
      <c r="H773" s="21" t="s">
        <v>47</v>
      </c>
      <c r="I773" s="52">
        <v>525</v>
      </c>
      <c r="J773" s="52">
        <v>609</v>
      </c>
      <c r="K773" s="52">
        <v>1785</v>
      </c>
      <c r="L773" s="52">
        <v>2458.0500000000002</v>
      </c>
      <c r="S773" s="21" t="s">
        <v>1572</v>
      </c>
      <c r="T773" s="21" t="s">
        <v>1572</v>
      </c>
      <c r="U773" s="21" t="s">
        <v>1572</v>
      </c>
      <c r="V773" s="21" t="s">
        <v>1573</v>
      </c>
      <c r="AC773" s="18" t="s">
        <v>26</v>
      </c>
    </row>
    <row r="774" spans="1:29">
      <c r="A774" s="21">
        <v>763</v>
      </c>
      <c r="C774" s="21" t="s">
        <v>1340</v>
      </c>
      <c r="D774" s="21" t="s">
        <v>180</v>
      </c>
      <c r="E774" s="1" t="s">
        <v>1341</v>
      </c>
      <c r="F774" s="46">
        <v>45973</v>
      </c>
      <c r="H774" s="21" t="s">
        <v>47</v>
      </c>
      <c r="I774" s="52">
        <v>823.66200000000003</v>
      </c>
      <c r="J774" s="52">
        <v>691.09</v>
      </c>
      <c r="K774" s="52">
        <v>1876.05</v>
      </c>
      <c r="S774" s="21" t="s">
        <v>1553</v>
      </c>
      <c r="T774" s="21" t="s">
        <v>1553</v>
      </c>
      <c r="U774" s="21" t="s">
        <v>1552</v>
      </c>
      <c r="AC774" s="18" t="s">
        <v>26</v>
      </c>
    </row>
    <row r="775" spans="1:29" ht="30">
      <c r="A775" s="21">
        <v>764</v>
      </c>
      <c r="C775" s="21" t="s">
        <v>1342</v>
      </c>
      <c r="D775" s="21" t="s">
        <v>180</v>
      </c>
      <c r="E775" s="64" t="s">
        <v>1343</v>
      </c>
      <c r="F775" s="46">
        <v>45973</v>
      </c>
      <c r="H775" s="21" t="s">
        <v>47</v>
      </c>
      <c r="I775" s="52">
        <v>918.17</v>
      </c>
      <c r="S775" s="21" t="s">
        <v>1571</v>
      </c>
      <c r="AC775" s="18" t="s">
        <v>26</v>
      </c>
    </row>
    <row r="776" spans="1:29">
      <c r="A776" s="21">
        <v>765</v>
      </c>
      <c r="C776" s="21" t="s">
        <v>1344</v>
      </c>
      <c r="D776" s="21" t="s">
        <v>180</v>
      </c>
      <c r="E776" s="1" t="s">
        <v>1345</v>
      </c>
      <c r="F776" s="46">
        <v>45975</v>
      </c>
      <c r="H776" s="21" t="s">
        <v>47</v>
      </c>
      <c r="I776" s="52">
        <v>147</v>
      </c>
      <c r="J776" s="52">
        <v>186.22</v>
      </c>
      <c r="K776" s="52">
        <v>21</v>
      </c>
      <c r="S776" s="21" t="s">
        <v>1575</v>
      </c>
      <c r="T776" s="21" t="s">
        <v>1575</v>
      </c>
      <c r="U776" s="21" t="s">
        <v>1576</v>
      </c>
      <c r="AC776" s="18" t="s">
        <v>26</v>
      </c>
    </row>
    <row r="777" spans="1:29">
      <c r="A777" s="21">
        <v>766</v>
      </c>
      <c r="B777" s="1" t="s">
        <v>91</v>
      </c>
      <c r="C777" s="21" t="s">
        <v>1346</v>
      </c>
      <c r="D777" s="21" t="s">
        <v>180</v>
      </c>
      <c r="E777" s="1" t="s">
        <v>1347</v>
      </c>
      <c r="F777" s="46">
        <v>45978</v>
      </c>
      <c r="H777" s="21" t="s">
        <v>47</v>
      </c>
    </row>
    <row r="778" spans="1:29" ht="30">
      <c r="A778" s="21">
        <v>767</v>
      </c>
      <c r="B778" s="1" t="s">
        <v>1350</v>
      </c>
      <c r="C778" s="21" t="s">
        <v>1348</v>
      </c>
      <c r="D778" s="21" t="s">
        <v>180</v>
      </c>
      <c r="E778" s="64" t="s">
        <v>1349</v>
      </c>
      <c r="F778" s="46">
        <v>45979</v>
      </c>
      <c r="H778" s="21" t="s">
        <v>47</v>
      </c>
      <c r="I778" s="52">
        <v>329611.3</v>
      </c>
      <c r="S778" s="21" t="s">
        <v>1577</v>
      </c>
      <c r="AC778" s="18" t="s">
        <v>26</v>
      </c>
    </row>
    <row r="779" spans="1:29" ht="30">
      <c r="A779" s="21">
        <v>768</v>
      </c>
      <c r="B779" s="1" t="s">
        <v>94</v>
      </c>
      <c r="C779" s="21" t="s">
        <v>1351</v>
      </c>
      <c r="D779" s="21" t="s">
        <v>180</v>
      </c>
      <c r="E779" s="64" t="s">
        <v>1352</v>
      </c>
      <c r="F779" s="46">
        <v>45980</v>
      </c>
      <c r="H779" s="21" t="s">
        <v>47</v>
      </c>
      <c r="I779" s="52">
        <v>3727.5</v>
      </c>
      <c r="J779" s="52">
        <v>2060.62</v>
      </c>
      <c r="S779" s="21" t="s">
        <v>1578</v>
      </c>
      <c r="T779" s="21" t="s">
        <v>1579</v>
      </c>
      <c r="AC779" s="18" t="s">
        <v>26</v>
      </c>
    </row>
    <row r="780" spans="1:29">
      <c r="A780" s="21">
        <v>769</v>
      </c>
      <c r="C780" s="21" t="s">
        <v>1353</v>
      </c>
      <c r="D780" s="21" t="s">
        <v>180</v>
      </c>
      <c r="E780" s="1" t="s">
        <v>1354</v>
      </c>
      <c r="F780" s="46">
        <v>45980</v>
      </c>
      <c r="H780" s="21" t="s">
        <v>47</v>
      </c>
    </row>
    <row r="781" spans="1:29">
      <c r="A781" s="21">
        <v>770</v>
      </c>
      <c r="B781" s="1" t="s">
        <v>866</v>
      </c>
      <c r="C781" s="21" t="s">
        <v>1356</v>
      </c>
      <c r="D781" s="21" t="s">
        <v>180</v>
      </c>
      <c r="E781" s="1" t="s">
        <v>1355</v>
      </c>
      <c r="F781" s="46">
        <v>45982</v>
      </c>
      <c r="H781" s="21" t="s">
        <v>47</v>
      </c>
      <c r="I781" s="52">
        <v>1321.4</v>
      </c>
      <c r="S781" s="21" t="s">
        <v>1580</v>
      </c>
      <c r="AC781" s="18" t="s">
        <v>26</v>
      </c>
    </row>
    <row r="782" spans="1:29" ht="30">
      <c r="A782" s="21">
        <v>771</v>
      </c>
      <c r="C782" s="21" t="s">
        <v>1358</v>
      </c>
      <c r="D782" s="21" t="s">
        <v>180</v>
      </c>
      <c r="E782" s="64" t="s">
        <v>1357</v>
      </c>
      <c r="F782" s="46">
        <v>45980</v>
      </c>
      <c r="H782" s="21" t="s">
        <v>47</v>
      </c>
      <c r="I782">
        <f>SUM(I758:I781)</f>
        <v>365060.49200000003</v>
      </c>
      <c r="S782" s="21" t="s">
        <v>1579</v>
      </c>
      <c r="AC782" s="18" t="s">
        <v>26</v>
      </c>
    </row>
    <row r="783" spans="1:29">
      <c r="A783" s="21">
        <v>772</v>
      </c>
      <c r="C783" s="21" t="s">
        <v>1367</v>
      </c>
      <c r="D783" s="21" t="s">
        <v>180</v>
      </c>
      <c r="E783" s="64" t="s">
        <v>1368</v>
      </c>
      <c r="F783" s="46">
        <v>45986</v>
      </c>
      <c r="H783" s="21" t="s">
        <v>47</v>
      </c>
    </row>
    <row r="784" spans="1:29" ht="30">
      <c r="A784" s="21">
        <v>773</v>
      </c>
      <c r="B784" s="1" t="s">
        <v>94</v>
      </c>
      <c r="C784" s="21" t="s">
        <v>1365</v>
      </c>
      <c r="D784" s="21" t="s">
        <v>180</v>
      </c>
      <c r="E784" s="64" t="s">
        <v>1366</v>
      </c>
      <c r="F784" s="46">
        <v>45986</v>
      </c>
      <c r="H784" s="21" t="s">
        <v>47</v>
      </c>
      <c r="I784" s="52">
        <v>212780.97</v>
      </c>
      <c r="S784" s="46">
        <v>45881</v>
      </c>
      <c r="AC784" s="18" t="s">
        <v>26</v>
      </c>
    </row>
    <row r="785" spans="1:29" ht="30">
      <c r="A785" s="21">
        <v>774</v>
      </c>
      <c r="B785" s="64" t="s">
        <v>1371</v>
      </c>
      <c r="C785" s="21" t="s">
        <v>1369</v>
      </c>
      <c r="D785" s="21" t="s">
        <v>180</v>
      </c>
      <c r="E785" s="64" t="s">
        <v>1370</v>
      </c>
      <c r="F785" s="46">
        <v>45986</v>
      </c>
      <c r="G785" s="46">
        <v>45990</v>
      </c>
      <c r="H785" s="21" t="s">
        <v>47</v>
      </c>
    </row>
    <row r="786" spans="1:29">
      <c r="A786" s="21">
        <v>775</v>
      </c>
      <c r="B786" s="64" t="s">
        <v>88</v>
      </c>
      <c r="C786" s="21">
        <v>2012505921</v>
      </c>
      <c r="D786" s="21" t="s">
        <v>41</v>
      </c>
      <c r="E786" s="64" t="s">
        <v>1359</v>
      </c>
      <c r="F786" s="46">
        <v>45985</v>
      </c>
      <c r="G786" s="46">
        <v>45989</v>
      </c>
      <c r="H786" s="21" t="s">
        <v>47</v>
      </c>
      <c r="I786" s="52">
        <v>8400</v>
      </c>
      <c r="S786" s="21" t="s">
        <v>1574</v>
      </c>
      <c r="AC786" s="18" t="s">
        <v>26</v>
      </c>
    </row>
    <row r="787" spans="1:29">
      <c r="A787" s="21">
        <v>776</v>
      </c>
      <c r="B787" s="64" t="s">
        <v>88</v>
      </c>
      <c r="C787" s="21">
        <v>2012505934</v>
      </c>
      <c r="D787" s="21" t="s">
        <v>41</v>
      </c>
      <c r="E787" s="64" t="s">
        <v>1360</v>
      </c>
      <c r="F787" s="46">
        <v>45985</v>
      </c>
      <c r="G787" s="46">
        <v>45989</v>
      </c>
      <c r="H787" s="21" t="s">
        <v>47</v>
      </c>
      <c r="I787" s="52">
        <v>32970</v>
      </c>
      <c r="S787" s="21" t="s">
        <v>1574</v>
      </c>
      <c r="AC787" s="18" t="s">
        <v>26</v>
      </c>
    </row>
    <row r="788" spans="1:29">
      <c r="A788" s="21">
        <v>777</v>
      </c>
      <c r="B788" s="64" t="s">
        <v>1372</v>
      </c>
      <c r="C788" s="21">
        <v>2012505937</v>
      </c>
      <c r="D788" s="21" t="s">
        <v>41</v>
      </c>
      <c r="E788" s="64" t="s">
        <v>1361</v>
      </c>
      <c r="F788" s="46">
        <v>45985</v>
      </c>
      <c r="G788" s="46">
        <v>45989</v>
      </c>
      <c r="H788" s="21" t="s">
        <v>47</v>
      </c>
      <c r="I788" s="52">
        <v>4620</v>
      </c>
      <c r="S788" s="21" t="s">
        <v>1574</v>
      </c>
      <c r="AC788" s="18" t="s">
        <v>26</v>
      </c>
    </row>
    <row r="789" spans="1:29">
      <c r="A789" s="21">
        <v>778</v>
      </c>
      <c r="B789" s="64" t="s">
        <v>88</v>
      </c>
      <c r="C789" s="21">
        <v>2012505940</v>
      </c>
      <c r="D789" s="21" t="s">
        <v>41</v>
      </c>
      <c r="E789" s="82" t="s">
        <v>1362</v>
      </c>
      <c r="F789" s="46">
        <v>45985</v>
      </c>
      <c r="G789" s="46">
        <v>45989</v>
      </c>
      <c r="H789" s="21" t="s">
        <v>47</v>
      </c>
      <c r="I789" s="52">
        <v>11550</v>
      </c>
      <c r="S789" s="21" t="s">
        <v>1573</v>
      </c>
      <c r="AC789" s="18" t="s">
        <v>26</v>
      </c>
    </row>
    <row r="790" spans="1:29">
      <c r="A790" s="21">
        <v>779</v>
      </c>
      <c r="B790" s="64" t="s">
        <v>88</v>
      </c>
      <c r="C790" s="21">
        <v>2012505953</v>
      </c>
      <c r="D790" s="21" t="s">
        <v>41</v>
      </c>
      <c r="E790" s="64" t="s">
        <v>1363</v>
      </c>
      <c r="F790" s="46">
        <v>45985</v>
      </c>
      <c r="G790" s="46">
        <v>45989</v>
      </c>
      <c r="H790" s="21" t="s">
        <v>47</v>
      </c>
      <c r="I790" s="52">
        <v>37913.769999999997</v>
      </c>
      <c r="J790" s="52">
        <v>19619.36</v>
      </c>
      <c r="S790" s="21" t="s">
        <v>1580</v>
      </c>
      <c r="T790" s="21" t="s">
        <v>1573</v>
      </c>
      <c r="AC790" s="18" t="s">
        <v>26</v>
      </c>
    </row>
    <row r="791" spans="1:29">
      <c r="A791" s="21">
        <v>780</v>
      </c>
      <c r="B791" s="64" t="s">
        <v>88</v>
      </c>
      <c r="C791" s="21">
        <v>2012505956</v>
      </c>
      <c r="D791" s="21" t="s">
        <v>41</v>
      </c>
      <c r="E791" s="64" t="s">
        <v>1364</v>
      </c>
      <c r="F791" s="46">
        <v>45986</v>
      </c>
      <c r="G791" s="46">
        <v>45992</v>
      </c>
      <c r="H791" s="21" t="s">
        <v>47</v>
      </c>
      <c r="I791" s="52">
        <v>8137.5</v>
      </c>
      <c r="J791" s="52">
        <v>4987.5</v>
      </c>
      <c r="S791" s="21" t="s">
        <v>1574</v>
      </c>
      <c r="T791" s="21" t="s">
        <v>1574</v>
      </c>
      <c r="AC791" s="18" t="s">
        <v>26</v>
      </c>
    </row>
    <row r="792" spans="1:29">
      <c r="A792" s="21">
        <v>781</v>
      </c>
      <c r="C792" s="21" t="s">
        <v>1373</v>
      </c>
      <c r="D792" s="21" t="s">
        <v>180</v>
      </c>
      <c r="E792" s="1" t="s">
        <v>1374</v>
      </c>
      <c r="F792" s="46">
        <v>45988</v>
      </c>
      <c r="H792" s="21" t="s">
        <v>47</v>
      </c>
      <c r="I792" s="52">
        <v>23274.51</v>
      </c>
      <c r="S792" s="46">
        <v>45728</v>
      </c>
      <c r="AC792" s="18" t="s">
        <v>26</v>
      </c>
    </row>
    <row r="793" spans="1:29" ht="30">
      <c r="A793" s="21">
        <v>782</v>
      </c>
      <c r="B793" s="1" t="s">
        <v>91</v>
      </c>
      <c r="C793" s="21" t="s">
        <v>1375</v>
      </c>
      <c r="D793" s="21" t="s">
        <v>180</v>
      </c>
      <c r="E793" s="64" t="s">
        <v>1376</v>
      </c>
      <c r="F793" s="46">
        <v>45993</v>
      </c>
      <c r="H793" s="21" t="s">
        <v>47</v>
      </c>
    </row>
    <row r="794" spans="1:29">
      <c r="A794" s="21">
        <v>783</v>
      </c>
      <c r="B794" s="1" t="s">
        <v>91</v>
      </c>
      <c r="C794" s="21" t="s">
        <v>1377</v>
      </c>
      <c r="D794" s="21" t="s">
        <v>180</v>
      </c>
      <c r="E794" s="1" t="s">
        <v>1378</v>
      </c>
      <c r="F794" s="46">
        <v>45993</v>
      </c>
      <c r="H794" s="21" t="s">
        <v>47</v>
      </c>
      <c r="I794" s="52">
        <v>31820</v>
      </c>
      <c r="S794" s="46">
        <v>45995</v>
      </c>
      <c r="AC794" s="18" t="s">
        <v>26</v>
      </c>
    </row>
    <row r="795" spans="1:29">
      <c r="A795" s="21">
        <v>784</v>
      </c>
      <c r="C795" s="21" t="s">
        <v>1380</v>
      </c>
      <c r="D795" s="21" t="s">
        <v>180</v>
      </c>
      <c r="E795" s="1" t="s">
        <v>1379</v>
      </c>
      <c r="F795" s="46">
        <v>45993</v>
      </c>
      <c r="H795" s="21" t="s">
        <v>47</v>
      </c>
      <c r="I795" s="52">
        <v>2257.5</v>
      </c>
      <c r="J795" s="52">
        <v>7350</v>
      </c>
      <c r="K795" s="52">
        <v>1765.09</v>
      </c>
      <c r="L795" s="52">
        <v>273</v>
      </c>
      <c r="M795" s="52">
        <v>1155</v>
      </c>
      <c r="N795" s="52">
        <v>31265.88</v>
      </c>
      <c r="S795" s="46">
        <v>45996</v>
      </c>
      <c r="T795" s="46">
        <v>45996</v>
      </c>
      <c r="U795" s="46">
        <v>45996</v>
      </c>
      <c r="V795" s="46">
        <v>45996</v>
      </c>
      <c r="W795" s="46">
        <v>45789</v>
      </c>
      <c r="X795" s="21" t="s">
        <v>1567</v>
      </c>
      <c r="AC795" s="18" t="s">
        <v>26</v>
      </c>
    </row>
    <row r="796" spans="1:29" ht="30">
      <c r="A796" s="21">
        <v>785</v>
      </c>
      <c r="B796" s="1" t="s">
        <v>91</v>
      </c>
      <c r="C796" s="21" t="s">
        <v>1381</v>
      </c>
      <c r="D796" s="21" t="s">
        <v>180</v>
      </c>
      <c r="E796" s="64" t="s">
        <v>1382</v>
      </c>
      <c r="F796" s="46">
        <v>45994</v>
      </c>
      <c r="H796" s="21" t="s">
        <v>47</v>
      </c>
      <c r="I796" s="52">
        <v>67096.570000000007</v>
      </c>
      <c r="S796" s="21" t="s">
        <v>1581</v>
      </c>
      <c r="AC796" s="18" t="s">
        <v>26</v>
      </c>
    </row>
    <row r="797" spans="1:29" ht="30">
      <c r="A797" s="21">
        <v>786</v>
      </c>
      <c r="B797" s="1" t="s">
        <v>91</v>
      </c>
      <c r="C797" s="21" t="s">
        <v>1384</v>
      </c>
      <c r="D797" s="21" t="s">
        <v>180</v>
      </c>
      <c r="E797" s="64" t="s">
        <v>1383</v>
      </c>
      <c r="F797" s="46">
        <v>45995</v>
      </c>
      <c r="H797" s="21" t="s">
        <v>47</v>
      </c>
      <c r="Q797" s="52" t="s">
        <v>1395</v>
      </c>
    </row>
    <row r="798" spans="1:29">
      <c r="A798" s="21">
        <v>787</v>
      </c>
      <c r="B798" s="1" t="s">
        <v>91</v>
      </c>
      <c r="C798" s="21" t="s">
        <v>1385</v>
      </c>
      <c r="D798" s="21" t="s">
        <v>180</v>
      </c>
      <c r="E798" s="1" t="s">
        <v>1386</v>
      </c>
      <c r="F798" s="46">
        <v>45995</v>
      </c>
      <c r="H798" s="21" t="s">
        <v>47</v>
      </c>
      <c r="I798" s="52">
        <v>5288</v>
      </c>
      <c r="S798" s="46">
        <v>45912</v>
      </c>
      <c r="AC798" s="18" t="s">
        <v>26</v>
      </c>
    </row>
    <row r="799" spans="1:29">
      <c r="A799" s="21">
        <v>788</v>
      </c>
      <c r="B799" s="1" t="s">
        <v>91</v>
      </c>
      <c r="C799" s="21" t="s">
        <v>1387</v>
      </c>
      <c r="D799" s="21" t="s">
        <v>180</v>
      </c>
      <c r="E799" s="1" t="s">
        <v>1388</v>
      </c>
      <c r="F799" s="46">
        <v>45995</v>
      </c>
      <c r="H799" s="21" t="s">
        <v>47</v>
      </c>
      <c r="I799" s="52">
        <v>7663</v>
      </c>
      <c r="S799" s="46">
        <v>45820</v>
      </c>
      <c r="AC799" s="18" t="s">
        <v>26</v>
      </c>
    </row>
    <row r="800" spans="1:29">
      <c r="A800" s="21">
        <v>789</v>
      </c>
      <c r="B800" s="1" t="s">
        <v>91</v>
      </c>
      <c r="C800" s="21" t="s">
        <v>1389</v>
      </c>
      <c r="D800" s="21" t="s">
        <v>180</v>
      </c>
      <c r="E800" s="1" t="s">
        <v>1390</v>
      </c>
      <c r="F800" s="46">
        <v>45995</v>
      </c>
      <c r="H800" s="21" t="s">
        <v>47</v>
      </c>
      <c r="I800" s="52">
        <v>39320.400000000001</v>
      </c>
      <c r="J800" s="52">
        <v>36183</v>
      </c>
      <c r="S800" s="46">
        <v>45973</v>
      </c>
      <c r="T800" s="46">
        <v>45973</v>
      </c>
      <c r="AC800" s="18" t="s">
        <v>26</v>
      </c>
    </row>
    <row r="801" spans="1:29">
      <c r="A801" s="21">
        <v>790</v>
      </c>
      <c r="B801" s="1" t="s">
        <v>91</v>
      </c>
      <c r="C801" s="21" t="s">
        <v>1391</v>
      </c>
      <c r="D801" s="21" t="s">
        <v>180</v>
      </c>
      <c r="E801" s="1" t="s">
        <v>1392</v>
      </c>
      <c r="F801" s="46">
        <v>46002</v>
      </c>
      <c r="H801" s="21" t="s">
        <v>47</v>
      </c>
    </row>
    <row r="802" spans="1:29">
      <c r="A802" s="21">
        <v>791</v>
      </c>
      <c r="B802" s="1" t="s">
        <v>95</v>
      </c>
      <c r="C802" s="21" t="s">
        <v>1393</v>
      </c>
      <c r="D802" s="21" t="s">
        <v>180</v>
      </c>
      <c r="E802" s="1" t="s">
        <v>1394</v>
      </c>
      <c r="F802" s="46">
        <v>46002</v>
      </c>
      <c r="H802" s="21" t="s">
        <v>47</v>
      </c>
      <c r="I802" s="52">
        <v>3486</v>
      </c>
      <c r="S802" s="46">
        <v>46003</v>
      </c>
      <c r="AC802" s="18" t="s">
        <v>26</v>
      </c>
    </row>
    <row r="803" spans="1:29">
      <c r="A803" s="21">
        <v>792</v>
      </c>
      <c r="B803" s="1" t="s">
        <v>866</v>
      </c>
      <c r="C803" s="21" t="s">
        <v>1396</v>
      </c>
      <c r="D803" s="21" t="s">
        <v>180</v>
      </c>
      <c r="E803" s="1" t="s">
        <v>1397</v>
      </c>
      <c r="F803" s="46">
        <v>46007</v>
      </c>
      <c r="H803" s="21" t="s">
        <v>47</v>
      </c>
      <c r="I803" s="52">
        <v>60602.53</v>
      </c>
      <c r="S803" s="21" t="s">
        <v>1441</v>
      </c>
      <c r="AC803" s="18" t="s">
        <v>26</v>
      </c>
    </row>
    <row r="804" spans="1:29">
      <c r="A804" s="21">
        <v>793</v>
      </c>
      <c r="B804" s="1" t="s">
        <v>91</v>
      </c>
      <c r="C804" s="21" t="s">
        <v>1399</v>
      </c>
      <c r="D804" s="21" t="s">
        <v>180</v>
      </c>
      <c r="E804" s="1" t="s">
        <v>1398</v>
      </c>
      <c r="F804" s="46">
        <v>46007</v>
      </c>
      <c r="H804" s="21" t="s">
        <v>47</v>
      </c>
      <c r="I804" s="52">
        <v>3594.15</v>
      </c>
      <c r="J804" s="52">
        <v>2936.51</v>
      </c>
      <c r="S804" s="21" t="s">
        <v>1567</v>
      </c>
      <c r="T804" s="21" t="s">
        <v>1441</v>
      </c>
      <c r="AC804" s="18" t="s">
        <v>26</v>
      </c>
    </row>
    <row r="805" spans="1:29" ht="30">
      <c r="A805" s="21">
        <v>794</v>
      </c>
      <c r="B805" s="1" t="s">
        <v>91</v>
      </c>
      <c r="C805" s="21" t="s">
        <v>1401</v>
      </c>
      <c r="D805" s="21" t="s">
        <v>180</v>
      </c>
      <c r="E805" s="64" t="s">
        <v>1400</v>
      </c>
      <c r="F805" s="46">
        <v>46007</v>
      </c>
      <c r="H805" s="21" t="s">
        <v>47</v>
      </c>
      <c r="I805" s="52">
        <v>5037.8999999999996</v>
      </c>
      <c r="J805" s="52">
        <v>6806.1</v>
      </c>
      <c r="K805" s="52">
        <v>4746</v>
      </c>
      <c r="L805" s="52">
        <v>8012</v>
      </c>
      <c r="S805" s="21" t="s">
        <v>1568</v>
      </c>
      <c r="T805" s="21" t="s">
        <v>1569</v>
      </c>
      <c r="U805" s="21" t="s">
        <v>1568</v>
      </c>
      <c r="V805" s="46">
        <v>46054</v>
      </c>
      <c r="AC805" s="18" t="s">
        <v>26</v>
      </c>
    </row>
    <row r="806" spans="1:29">
      <c r="A806" s="21">
        <v>795</v>
      </c>
      <c r="B806" s="1" t="s">
        <v>91</v>
      </c>
      <c r="C806" s="21" t="s">
        <v>1402</v>
      </c>
      <c r="D806" s="21" t="s">
        <v>180</v>
      </c>
      <c r="E806" s="1" t="s">
        <v>1403</v>
      </c>
      <c r="F806" s="46">
        <v>46007</v>
      </c>
      <c r="H806" s="21" t="s">
        <v>47</v>
      </c>
      <c r="I806" s="52">
        <v>192405</v>
      </c>
      <c r="S806" s="21" t="s">
        <v>1566</v>
      </c>
      <c r="AC806" s="18" t="s">
        <v>26</v>
      </c>
    </row>
    <row r="807" spans="1:29">
      <c r="A807" s="21">
        <v>796</v>
      </c>
      <c r="B807" s="1" t="s">
        <v>866</v>
      </c>
      <c r="C807" s="21" t="s">
        <v>1404</v>
      </c>
      <c r="D807" s="21" t="s">
        <v>180</v>
      </c>
      <c r="E807" s="1" t="s">
        <v>1405</v>
      </c>
      <c r="F807" s="46">
        <v>46007</v>
      </c>
      <c r="H807" s="21" t="s">
        <v>47</v>
      </c>
    </row>
    <row r="808" spans="1:29">
      <c r="A808" s="21">
        <v>797</v>
      </c>
      <c r="B808" s="1" t="s">
        <v>866</v>
      </c>
      <c r="C808" s="21" t="s">
        <v>1406</v>
      </c>
      <c r="D808" s="21" t="s">
        <v>180</v>
      </c>
      <c r="E808" s="1" t="s">
        <v>1407</v>
      </c>
      <c r="F808" s="46">
        <v>46007</v>
      </c>
      <c r="H808" s="21" t="s">
        <v>47</v>
      </c>
    </row>
    <row r="809" spans="1:29">
      <c r="A809" s="21">
        <v>798</v>
      </c>
      <c r="B809" s="1" t="s">
        <v>866</v>
      </c>
      <c r="C809" s="21" t="s">
        <v>1414</v>
      </c>
      <c r="D809" s="21" t="s">
        <v>180</v>
      </c>
      <c r="E809" s="1" t="s">
        <v>1415</v>
      </c>
      <c r="F809" s="46">
        <v>46007</v>
      </c>
      <c r="H809" s="21" t="s">
        <v>47</v>
      </c>
    </row>
    <row r="810" spans="1:29">
      <c r="A810" s="21">
        <v>799</v>
      </c>
      <c r="B810" s="1" t="s">
        <v>88</v>
      </c>
      <c r="C810" s="21">
        <v>2012506255</v>
      </c>
      <c r="D810" s="21" t="s">
        <v>41</v>
      </c>
      <c r="E810" s="1" t="s">
        <v>1416</v>
      </c>
      <c r="F810" s="46">
        <v>46007</v>
      </c>
      <c r="G810" s="46">
        <v>46013</v>
      </c>
      <c r="H810" s="21" t="s">
        <v>47</v>
      </c>
    </row>
    <row r="811" spans="1:29">
      <c r="A811" s="21">
        <v>800</v>
      </c>
      <c r="B811" s="1" t="s">
        <v>88</v>
      </c>
      <c r="C811" s="21">
        <v>2012506258</v>
      </c>
      <c r="D811" s="21" t="s">
        <v>41</v>
      </c>
      <c r="E811" s="1" t="s">
        <v>1417</v>
      </c>
      <c r="F811" s="46">
        <v>46007</v>
      </c>
      <c r="G811" s="46">
        <v>46013</v>
      </c>
      <c r="H811" s="21" t="s">
        <v>47</v>
      </c>
    </row>
    <row r="812" spans="1:29">
      <c r="A812" s="21">
        <v>801</v>
      </c>
      <c r="B812" s="1" t="s">
        <v>88</v>
      </c>
      <c r="C812" s="21">
        <v>2012506261</v>
      </c>
      <c r="D812" s="21" t="s">
        <v>41</v>
      </c>
      <c r="E812" s="1" t="s">
        <v>1418</v>
      </c>
      <c r="F812" s="46">
        <v>46007</v>
      </c>
      <c r="G812" s="46">
        <v>46013</v>
      </c>
      <c r="H812" s="21" t="s">
        <v>47</v>
      </c>
    </row>
    <row r="813" spans="1:29">
      <c r="A813" s="21">
        <v>802</v>
      </c>
      <c r="B813" s="1" t="s">
        <v>88</v>
      </c>
      <c r="C813" s="21">
        <v>2012506266</v>
      </c>
      <c r="D813" s="21" t="s">
        <v>41</v>
      </c>
      <c r="E813" s="1" t="s">
        <v>1419</v>
      </c>
      <c r="F813" s="46">
        <v>46007</v>
      </c>
      <c r="G813" s="46">
        <v>46013</v>
      </c>
      <c r="H813" s="21" t="s">
        <v>47</v>
      </c>
    </row>
    <row r="814" spans="1:29">
      <c r="A814" s="21">
        <v>803</v>
      </c>
      <c r="B814" s="1" t="s">
        <v>88</v>
      </c>
      <c r="C814" s="21">
        <v>2012506269</v>
      </c>
      <c r="D814" s="21" t="s">
        <v>41</v>
      </c>
      <c r="E814" s="1" t="s">
        <v>1420</v>
      </c>
      <c r="F814" s="46">
        <v>46007</v>
      </c>
      <c r="G814" s="46">
        <v>46013</v>
      </c>
      <c r="H814" s="21" t="s">
        <v>47</v>
      </c>
      <c r="I814" s="52">
        <v>5715.76</v>
      </c>
      <c r="S814" s="21" t="s">
        <v>1442</v>
      </c>
      <c r="AC814" s="18" t="s">
        <v>26</v>
      </c>
    </row>
    <row r="815" spans="1:29">
      <c r="A815" s="21">
        <v>804</v>
      </c>
      <c r="B815" s="1" t="s">
        <v>88</v>
      </c>
      <c r="C815" s="21">
        <v>2012506272</v>
      </c>
      <c r="D815" s="21" t="s">
        <v>41</v>
      </c>
      <c r="E815" s="1" t="s">
        <v>1421</v>
      </c>
      <c r="F815" s="46">
        <v>46007</v>
      </c>
      <c r="G815" s="46">
        <v>46013</v>
      </c>
      <c r="H815" s="21" t="s">
        <v>47</v>
      </c>
      <c r="I815" s="52">
        <v>51135</v>
      </c>
      <c r="S815" s="21" t="s">
        <v>1565</v>
      </c>
      <c r="AC815" s="18" t="s">
        <v>26</v>
      </c>
    </row>
    <row r="816" spans="1:29">
      <c r="A816" s="21">
        <v>805</v>
      </c>
      <c r="B816" s="1" t="s">
        <v>88</v>
      </c>
      <c r="C816" s="21">
        <v>2012506275</v>
      </c>
      <c r="D816" s="21" t="s">
        <v>41</v>
      </c>
      <c r="E816" s="1" t="s">
        <v>1422</v>
      </c>
      <c r="F816" s="46">
        <v>46007</v>
      </c>
      <c r="G816" s="46">
        <v>46013</v>
      </c>
      <c r="H816" s="21" t="s">
        <v>47</v>
      </c>
      <c r="I816" s="52">
        <v>52678.34</v>
      </c>
      <c r="S816" s="21" t="s">
        <v>1442</v>
      </c>
      <c r="AC816" s="18" t="s">
        <v>26</v>
      </c>
    </row>
    <row r="817" spans="1:29">
      <c r="A817" s="21">
        <v>806</v>
      </c>
      <c r="B817" s="1" t="s">
        <v>88</v>
      </c>
      <c r="C817" s="21">
        <v>2012506278</v>
      </c>
      <c r="D817" s="21" t="s">
        <v>41</v>
      </c>
      <c r="E817" s="1" t="s">
        <v>1423</v>
      </c>
      <c r="F817" s="46">
        <v>46007</v>
      </c>
      <c r="G817" s="46">
        <v>46013</v>
      </c>
      <c r="H817" s="21" t="s">
        <v>47</v>
      </c>
    </row>
    <row r="818" spans="1:29">
      <c r="A818" s="21">
        <v>807</v>
      </c>
      <c r="B818" s="1" t="s">
        <v>88</v>
      </c>
      <c r="C818" s="21">
        <v>2012506281</v>
      </c>
      <c r="D818" s="21" t="s">
        <v>41</v>
      </c>
      <c r="E818" s="1" t="s">
        <v>1424</v>
      </c>
      <c r="F818" s="46">
        <v>46007</v>
      </c>
      <c r="G818" s="46">
        <v>46013</v>
      </c>
      <c r="H818" s="21" t="s">
        <v>47</v>
      </c>
    </row>
    <row r="819" spans="1:29">
      <c r="A819" s="21">
        <v>808</v>
      </c>
      <c r="B819" s="1" t="s">
        <v>107</v>
      </c>
      <c r="C819" s="83" t="s">
        <v>1408</v>
      </c>
      <c r="D819" s="21" t="s">
        <v>65</v>
      </c>
      <c r="E819" s="1" t="s">
        <v>1425</v>
      </c>
      <c r="F819" s="46">
        <v>46008</v>
      </c>
      <c r="G819" s="84">
        <v>46014</v>
      </c>
      <c r="H819" s="21" t="s">
        <v>47</v>
      </c>
    </row>
    <row r="820" spans="1:29">
      <c r="A820" s="21">
        <v>809</v>
      </c>
      <c r="B820" s="1" t="s">
        <v>107</v>
      </c>
      <c r="C820" s="83" t="s">
        <v>1409</v>
      </c>
      <c r="D820" s="21" t="s">
        <v>65</v>
      </c>
      <c r="E820" s="1" t="s">
        <v>1426</v>
      </c>
      <c r="F820" s="46">
        <v>46008</v>
      </c>
      <c r="G820" s="84">
        <v>46014</v>
      </c>
      <c r="H820" s="21" t="s">
        <v>47</v>
      </c>
      <c r="I820" s="52">
        <v>22271.97</v>
      </c>
      <c r="S820" s="21" t="s">
        <v>1566</v>
      </c>
      <c r="AC820" s="18" t="s">
        <v>26</v>
      </c>
    </row>
    <row r="821" spans="1:29">
      <c r="A821" s="21">
        <v>810</v>
      </c>
      <c r="B821" s="1" t="s">
        <v>107</v>
      </c>
      <c r="C821" s="83" t="s">
        <v>1410</v>
      </c>
      <c r="D821" s="21" t="s">
        <v>65</v>
      </c>
      <c r="E821" s="1" t="s">
        <v>1427</v>
      </c>
      <c r="F821" s="46">
        <v>46008</v>
      </c>
      <c r="G821" s="84">
        <v>46014</v>
      </c>
      <c r="H821" s="21" t="s">
        <v>47</v>
      </c>
      <c r="I821" s="52">
        <v>71400</v>
      </c>
      <c r="S821" s="21" t="s">
        <v>1565</v>
      </c>
      <c r="AC821" s="18" t="s">
        <v>26</v>
      </c>
    </row>
    <row r="822" spans="1:29">
      <c r="A822" s="21">
        <v>811</v>
      </c>
      <c r="B822" s="1" t="s">
        <v>107</v>
      </c>
      <c r="C822" s="83" t="s">
        <v>1411</v>
      </c>
      <c r="D822" s="21" t="s">
        <v>65</v>
      </c>
      <c r="E822" s="1" t="s">
        <v>1428</v>
      </c>
      <c r="F822" s="46">
        <v>46008</v>
      </c>
      <c r="G822" s="84">
        <v>46014</v>
      </c>
      <c r="H822" s="21" t="s">
        <v>47</v>
      </c>
      <c r="I822" s="52">
        <v>11657.5</v>
      </c>
      <c r="S822" s="21" t="s">
        <v>1565</v>
      </c>
      <c r="AC822" s="18" t="s">
        <v>26</v>
      </c>
    </row>
    <row r="823" spans="1:29" ht="30">
      <c r="A823" s="21">
        <v>812</v>
      </c>
      <c r="B823" s="1" t="s">
        <v>107</v>
      </c>
      <c r="C823" s="83" t="s">
        <v>1412</v>
      </c>
      <c r="D823" s="21" t="s">
        <v>65</v>
      </c>
      <c r="E823" s="64" t="s">
        <v>1429</v>
      </c>
      <c r="F823" s="46">
        <v>46008</v>
      </c>
      <c r="G823" s="84">
        <v>46014</v>
      </c>
      <c r="H823" s="21" t="s">
        <v>47</v>
      </c>
    </row>
    <row r="824" spans="1:29">
      <c r="A824" s="21">
        <v>813</v>
      </c>
      <c r="B824" s="1" t="s">
        <v>107</v>
      </c>
      <c r="C824" s="83" t="s">
        <v>1413</v>
      </c>
      <c r="D824" s="21" t="s">
        <v>65</v>
      </c>
      <c r="E824" s="1" t="s">
        <v>1430</v>
      </c>
      <c r="F824" s="46">
        <v>46008</v>
      </c>
      <c r="G824" s="84">
        <v>46014</v>
      </c>
      <c r="H824" s="21" t="s">
        <v>47</v>
      </c>
      <c r="I824" s="52">
        <v>39438</v>
      </c>
      <c r="S824" s="21" t="s">
        <v>1442</v>
      </c>
      <c r="AC824" s="18" t="s">
        <v>26</v>
      </c>
    </row>
    <row r="825" spans="1:29" ht="30">
      <c r="A825" s="21">
        <v>814</v>
      </c>
      <c r="C825" s="21" t="s">
        <v>1445</v>
      </c>
      <c r="D825" s="21" t="s">
        <v>180</v>
      </c>
      <c r="E825" s="64" t="s">
        <v>1446</v>
      </c>
      <c r="F825" s="21" t="s">
        <v>1441</v>
      </c>
      <c r="H825" s="21" t="s">
        <v>47</v>
      </c>
    </row>
    <row r="826" spans="1:29" ht="30">
      <c r="A826" s="21">
        <v>815</v>
      </c>
      <c r="C826" s="21" t="s">
        <v>1439</v>
      </c>
      <c r="D826" s="21" t="s">
        <v>180</v>
      </c>
      <c r="E826" s="64" t="s">
        <v>1440</v>
      </c>
      <c r="F826" s="21" t="s">
        <v>1441</v>
      </c>
      <c r="H826" s="21" t="s">
        <v>47</v>
      </c>
    </row>
    <row r="827" spans="1:29" ht="45">
      <c r="A827" s="21">
        <v>816</v>
      </c>
      <c r="C827" s="21" t="s">
        <v>1449</v>
      </c>
      <c r="D827" s="21" t="s">
        <v>180</v>
      </c>
      <c r="E827" s="64" t="s">
        <v>1450</v>
      </c>
      <c r="F827" s="21" t="s">
        <v>1441</v>
      </c>
      <c r="H827" s="21" t="s">
        <v>47</v>
      </c>
      <c r="I827" s="52">
        <v>242620.7</v>
      </c>
      <c r="J827" s="52">
        <v>504125</v>
      </c>
      <c r="S827" s="46">
        <v>46174</v>
      </c>
      <c r="T827" s="46">
        <v>46357</v>
      </c>
      <c r="AC827" s="18" t="s">
        <v>26</v>
      </c>
    </row>
    <row r="828" spans="1:29" ht="45">
      <c r="A828" s="21">
        <v>817</v>
      </c>
      <c r="C828" s="21" t="s">
        <v>1447</v>
      </c>
      <c r="D828" s="21" t="s">
        <v>180</v>
      </c>
      <c r="E828" s="64" t="s">
        <v>1448</v>
      </c>
      <c r="F828" s="21" t="s">
        <v>1441</v>
      </c>
      <c r="H828" s="21" t="s">
        <v>47</v>
      </c>
      <c r="I828" s="52">
        <v>97900</v>
      </c>
      <c r="J828" s="52">
        <v>5509337.4100000001</v>
      </c>
      <c r="K828" s="52">
        <v>62266.86</v>
      </c>
      <c r="S828" s="46">
        <v>46023</v>
      </c>
      <c r="T828" s="46">
        <v>46143</v>
      </c>
      <c r="U828" s="46">
        <v>46174</v>
      </c>
      <c r="AC828" s="18" t="s">
        <v>26</v>
      </c>
    </row>
    <row r="829" spans="1:29">
      <c r="A829" s="21">
        <v>818</v>
      </c>
      <c r="B829" s="1" t="s">
        <v>95</v>
      </c>
      <c r="C829" s="21" t="s">
        <v>1432</v>
      </c>
      <c r="D829" s="21" t="s">
        <v>180</v>
      </c>
      <c r="E829" s="1" t="s">
        <v>1431</v>
      </c>
      <c r="F829" s="46">
        <v>46014</v>
      </c>
      <c r="H829" s="21" t="s">
        <v>47</v>
      </c>
      <c r="I829" s="52">
        <v>18720</v>
      </c>
      <c r="J829" s="52">
        <v>17388</v>
      </c>
      <c r="S829" s="21" t="s">
        <v>1582</v>
      </c>
      <c r="T829" s="21" t="s">
        <v>1582</v>
      </c>
      <c r="AC829" s="18" t="s">
        <v>26</v>
      </c>
    </row>
    <row r="830" spans="1:29">
      <c r="A830" s="21">
        <v>819</v>
      </c>
      <c r="B830" s="1" t="s">
        <v>88</v>
      </c>
      <c r="C830" s="21">
        <v>2012506370</v>
      </c>
      <c r="D830" s="21" t="s">
        <v>41</v>
      </c>
      <c r="E830" s="1" t="s">
        <v>1433</v>
      </c>
      <c r="F830" s="46" t="s">
        <v>1442</v>
      </c>
      <c r="G830" s="21" t="s">
        <v>1444</v>
      </c>
      <c r="H830" s="21" t="s">
        <v>47</v>
      </c>
      <c r="I830" s="52">
        <v>2797.19</v>
      </c>
      <c r="S830" s="21" t="s">
        <v>1583</v>
      </c>
      <c r="AC830" s="18" t="s">
        <v>26</v>
      </c>
    </row>
    <row r="831" spans="1:29">
      <c r="A831" s="21">
        <v>820</v>
      </c>
      <c r="B831" s="1" t="s">
        <v>88</v>
      </c>
      <c r="C831" s="21">
        <v>2012506375</v>
      </c>
      <c r="D831" s="21" t="s">
        <v>41</v>
      </c>
      <c r="E831" s="1" t="s">
        <v>1434</v>
      </c>
      <c r="F831" s="46" t="s">
        <v>1442</v>
      </c>
      <c r="G831" s="21" t="s">
        <v>1444</v>
      </c>
      <c r="H831" s="21" t="s">
        <v>47</v>
      </c>
    </row>
    <row r="832" spans="1:29">
      <c r="A832" s="21">
        <v>821</v>
      </c>
      <c r="B832" s="1" t="s">
        <v>88</v>
      </c>
      <c r="C832" s="21">
        <v>2012506378</v>
      </c>
      <c r="D832" s="21" t="s">
        <v>41</v>
      </c>
      <c r="E832" s="1" t="s">
        <v>1435</v>
      </c>
      <c r="F832" s="46" t="s">
        <v>1442</v>
      </c>
      <c r="G832" s="21" t="s">
        <v>1444</v>
      </c>
      <c r="H832" s="21" t="s">
        <v>47</v>
      </c>
    </row>
    <row r="833" spans="1:29">
      <c r="A833" s="21">
        <v>822</v>
      </c>
      <c r="B833" s="1" t="s">
        <v>88</v>
      </c>
      <c r="C833" s="21">
        <v>2012506381</v>
      </c>
      <c r="D833" s="21" t="s">
        <v>41</v>
      </c>
      <c r="E833" s="1" t="s">
        <v>1436</v>
      </c>
      <c r="F833" s="46" t="s">
        <v>1442</v>
      </c>
      <c r="G833" s="21" t="s">
        <v>1444</v>
      </c>
      <c r="H833" s="21" t="s">
        <v>47</v>
      </c>
    </row>
    <row r="834" spans="1:29">
      <c r="A834" s="21">
        <v>823</v>
      </c>
      <c r="B834" s="1" t="s">
        <v>88</v>
      </c>
      <c r="C834" s="21">
        <v>2012506457</v>
      </c>
      <c r="D834" s="21" t="s">
        <v>41</v>
      </c>
      <c r="E834" s="1" t="s">
        <v>1437</v>
      </c>
      <c r="F834" s="46" t="s">
        <v>1443</v>
      </c>
      <c r="G834" s="46">
        <v>45778</v>
      </c>
      <c r="H834" s="21" t="s">
        <v>47</v>
      </c>
      <c r="I834" s="52">
        <v>2535.75</v>
      </c>
      <c r="J834" s="52">
        <v>2400</v>
      </c>
      <c r="S834" s="21" t="s">
        <v>1584</v>
      </c>
      <c r="T834" s="21" t="s">
        <v>1584</v>
      </c>
      <c r="AC834" s="18" t="s">
        <v>26</v>
      </c>
    </row>
    <row r="835" spans="1:29">
      <c r="A835" s="21">
        <v>824</v>
      </c>
      <c r="B835" s="1" t="s">
        <v>88</v>
      </c>
      <c r="C835" s="21">
        <v>2012506460</v>
      </c>
      <c r="D835" s="21" t="s">
        <v>41</v>
      </c>
      <c r="E835" s="1" t="s">
        <v>1438</v>
      </c>
      <c r="F835" s="46" t="s">
        <v>1443</v>
      </c>
      <c r="G835" s="46">
        <v>45778</v>
      </c>
      <c r="H835" s="21" t="s">
        <v>47</v>
      </c>
    </row>
    <row r="836" spans="1:29">
      <c r="A836" s="21">
        <v>825</v>
      </c>
      <c r="B836" s="1" t="s">
        <v>91</v>
      </c>
      <c r="C836" s="21" t="s">
        <v>1451</v>
      </c>
      <c r="D836" s="21" t="s">
        <v>180</v>
      </c>
      <c r="E836" s="1" t="s">
        <v>1452</v>
      </c>
      <c r="F836" s="46">
        <v>46143</v>
      </c>
      <c r="H836" s="21" t="s">
        <v>47</v>
      </c>
      <c r="I836" s="52">
        <v>16500</v>
      </c>
      <c r="J836" s="52">
        <v>14000</v>
      </c>
      <c r="K836" s="52" t="s">
        <v>1585</v>
      </c>
      <c r="L836" s="52">
        <v>19687.5</v>
      </c>
      <c r="S836" s="46">
        <v>46143</v>
      </c>
      <c r="T836" s="46">
        <v>46143</v>
      </c>
      <c r="U836" s="46">
        <v>46143</v>
      </c>
      <c r="V836" s="46">
        <v>46143</v>
      </c>
      <c r="AC836" s="18" t="s">
        <v>26</v>
      </c>
    </row>
    <row r="837" spans="1:29">
      <c r="A837" s="21">
        <v>826</v>
      </c>
      <c r="B837" s="1" t="s">
        <v>91</v>
      </c>
      <c r="C837" s="21" t="s">
        <v>1453</v>
      </c>
      <c r="D837" s="21" t="s">
        <v>180</v>
      </c>
      <c r="E837" s="1" t="s">
        <v>1454</v>
      </c>
      <c r="F837" s="46">
        <v>46143</v>
      </c>
      <c r="H837" s="21" t="s">
        <v>47</v>
      </c>
      <c r="I837" s="52">
        <v>7762.5</v>
      </c>
      <c r="S837" s="46">
        <v>46235</v>
      </c>
      <c r="AC837" s="18" t="s">
        <v>26</v>
      </c>
    </row>
    <row r="838" spans="1:29">
      <c r="A838" s="21">
        <v>827</v>
      </c>
      <c r="B838" s="1" t="s">
        <v>88</v>
      </c>
      <c r="C838" s="21">
        <v>2012600029</v>
      </c>
      <c r="D838" s="21" t="s">
        <v>41</v>
      </c>
      <c r="E838" s="1" t="s">
        <v>1461</v>
      </c>
      <c r="F838" s="46">
        <v>46143</v>
      </c>
      <c r="G838" s="46">
        <v>46266</v>
      </c>
      <c r="H838" s="21" t="s">
        <v>47</v>
      </c>
      <c r="I838" s="52">
        <v>7875</v>
      </c>
      <c r="J838" s="52">
        <v>25620</v>
      </c>
      <c r="K838" s="52">
        <v>74949</v>
      </c>
      <c r="S838" s="46">
        <v>46204</v>
      </c>
      <c r="T838" s="46">
        <v>46204</v>
      </c>
      <c r="U838" s="46">
        <v>46357</v>
      </c>
      <c r="AC838" s="18" t="s">
        <v>26</v>
      </c>
    </row>
    <row r="839" spans="1:29">
      <c r="A839" s="21">
        <v>828</v>
      </c>
      <c r="B839" s="1" t="s">
        <v>88</v>
      </c>
      <c r="C839" s="21">
        <v>2012600033</v>
      </c>
      <c r="D839" s="21" t="s">
        <v>41</v>
      </c>
      <c r="E839" s="1" t="s">
        <v>1462</v>
      </c>
      <c r="F839" s="46">
        <v>46143</v>
      </c>
      <c r="G839" s="46">
        <v>46266</v>
      </c>
      <c r="H839" s="21" t="s">
        <v>47</v>
      </c>
    </row>
    <row r="840" spans="1:29">
      <c r="A840" s="21">
        <v>829</v>
      </c>
      <c r="B840" s="1" t="s">
        <v>88</v>
      </c>
      <c r="C840" s="21">
        <v>2012600036</v>
      </c>
      <c r="D840" s="21" t="s">
        <v>41</v>
      </c>
      <c r="E840" s="1" t="s">
        <v>1463</v>
      </c>
      <c r="F840" s="46">
        <v>46143</v>
      </c>
      <c r="G840" s="46">
        <v>46266</v>
      </c>
      <c r="H840" s="21" t="s">
        <v>47</v>
      </c>
    </row>
    <row r="841" spans="1:29">
      <c r="A841" s="21">
        <v>830</v>
      </c>
      <c r="B841" s="1" t="s">
        <v>95</v>
      </c>
      <c r="C841" s="21" t="s">
        <v>1455</v>
      </c>
      <c r="D841" s="21" t="s">
        <v>180</v>
      </c>
      <c r="E841" s="1" t="s">
        <v>1456</v>
      </c>
      <c r="F841" s="46">
        <v>46174</v>
      </c>
      <c r="H841" s="21" t="s">
        <v>47</v>
      </c>
      <c r="I841">
        <v>4016.25</v>
      </c>
      <c r="J841" s="52">
        <v>1527.75</v>
      </c>
      <c r="K841" s="52">
        <v>960.75</v>
      </c>
      <c r="L841" s="52">
        <v>4373.25</v>
      </c>
      <c r="M841" s="52">
        <v>220.5</v>
      </c>
      <c r="N841" s="52">
        <v>4462.5</v>
      </c>
      <c r="O841" s="52">
        <v>78.75</v>
      </c>
      <c r="P841" s="52">
        <v>1197</v>
      </c>
      <c r="S841" s="46">
        <v>46174</v>
      </c>
      <c r="T841" s="46">
        <v>46296</v>
      </c>
      <c r="U841" s="46">
        <v>46174</v>
      </c>
      <c r="V841" s="46">
        <v>46235</v>
      </c>
      <c r="W841" s="46">
        <v>46235</v>
      </c>
      <c r="X841" s="46">
        <v>46204</v>
      </c>
      <c r="Y841" s="46">
        <v>46204</v>
      </c>
      <c r="Z841" s="46">
        <v>46357</v>
      </c>
      <c r="AC841" s="18" t="s">
        <v>26</v>
      </c>
    </row>
    <row r="842" spans="1:29">
      <c r="A842" s="21">
        <v>831</v>
      </c>
      <c r="B842" s="1" t="s">
        <v>95</v>
      </c>
      <c r="C842" s="21" t="s">
        <v>1457</v>
      </c>
      <c r="D842" s="21" t="s">
        <v>180</v>
      </c>
      <c r="E842" s="1" t="s">
        <v>1458</v>
      </c>
      <c r="F842" s="46">
        <v>46174</v>
      </c>
      <c r="H842" s="21" t="s">
        <v>47</v>
      </c>
      <c r="I842" s="52">
        <v>1816.48</v>
      </c>
      <c r="S842" s="46">
        <v>46204</v>
      </c>
      <c r="AC842" s="18" t="s">
        <v>26</v>
      </c>
    </row>
    <row r="843" spans="1:29">
      <c r="A843" s="21">
        <v>832</v>
      </c>
      <c r="B843" s="1" t="s">
        <v>95</v>
      </c>
      <c r="C843" s="21" t="s">
        <v>1459</v>
      </c>
      <c r="D843" s="21" t="s">
        <v>180</v>
      </c>
      <c r="E843" s="1" t="s">
        <v>1460</v>
      </c>
      <c r="F843" s="46">
        <v>46174</v>
      </c>
      <c r="H843" s="21" t="s">
        <v>47</v>
      </c>
      <c r="I843" s="52">
        <v>37774.01</v>
      </c>
      <c r="S843" s="46">
        <v>46174</v>
      </c>
      <c r="AC843" s="18" t="s">
        <v>26</v>
      </c>
    </row>
    <row r="844" spans="1:29">
      <c r="A844" s="21">
        <v>833</v>
      </c>
      <c r="B844" s="1" t="s">
        <v>94</v>
      </c>
      <c r="C844" s="21" t="s">
        <v>1464</v>
      </c>
      <c r="D844" s="21" t="s">
        <v>180</v>
      </c>
      <c r="E844" s="1" t="s">
        <v>1465</v>
      </c>
      <c r="F844" s="46">
        <v>46204</v>
      </c>
      <c r="H844" s="21" t="s">
        <v>47</v>
      </c>
    </row>
    <row r="845" spans="1:29">
      <c r="A845" s="21">
        <v>834</v>
      </c>
      <c r="B845" s="1" t="s">
        <v>94</v>
      </c>
      <c r="C845" s="21" t="s">
        <v>1466</v>
      </c>
      <c r="D845" s="21" t="s">
        <v>180</v>
      </c>
      <c r="E845" s="1" t="s">
        <v>1467</v>
      </c>
      <c r="F845" s="46">
        <v>46204</v>
      </c>
      <c r="H845" s="21" t="s">
        <v>47</v>
      </c>
    </row>
    <row r="846" spans="1:29">
      <c r="A846" s="21">
        <v>835</v>
      </c>
      <c r="B846" s="1" t="s">
        <v>95</v>
      </c>
      <c r="C846" s="21" t="s">
        <v>1468</v>
      </c>
      <c r="D846" s="21" t="s">
        <v>180</v>
      </c>
      <c r="E846" s="1" t="s">
        <v>1469</v>
      </c>
      <c r="F846" s="46">
        <v>46204</v>
      </c>
      <c r="H846" s="21" t="s">
        <v>47</v>
      </c>
      <c r="I846" s="52">
        <v>6798.63</v>
      </c>
      <c r="J846" s="52">
        <v>9319.74</v>
      </c>
      <c r="S846" s="46">
        <v>46235</v>
      </c>
      <c r="T846" s="46">
        <v>46204</v>
      </c>
      <c r="AC846" s="18" t="s">
        <v>26</v>
      </c>
    </row>
    <row r="847" spans="1:29">
      <c r="A847" s="21">
        <v>836</v>
      </c>
      <c r="B847" s="1" t="s">
        <v>88</v>
      </c>
      <c r="C847" s="21">
        <v>2012600091</v>
      </c>
      <c r="D847" s="21" t="s">
        <v>41</v>
      </c>
      <c r="E847" s="1" t="s">
        <v>1470</v>
      </c>
      <c r="F847" s="46">
        <v>46174</v>
      </c>
      <c r="G847" s="46">
        <v>46357</v>
      </c>
      <c r="H847" s="21" t="s">
        <v>47</v>
      </c>
      <c r="I847" s="52">
        <v>12800</v>
      </c>
      <c r="S847" s="46">
        <v>46235</v>
      </c>
      <c r="AC847" s="18" t="s">
        <v>26</v>
      </c>
    </row>
    <row r="848" spans="1:29">
      <c r="A848" s="21">
        <v>837</v>
      </c>
      <c r="B848" s="1" t="s">
        <v>88</v>
      </c>
      <c r="C848" s="21">
        <v>2012600094</v>
      </c>
      <c r="D848" s="21" t="s">
        <v>41</v>
      </c>
      <c r="E848" s="1" t="s">
        <v>1471</v>
      </c>
      <c r="F848" s="46">
        <v>46174</v>
      </c>
      <c r="G848" s="46">
        <v>46357</v>
      </c>
      <c r="H848" s="21" t="s">
        <v>47</v>
      </c>
    </row>
    <row r="849" spans="1:29">
      <c r="A849" s="21">
        <v>838</v>
      </c>
      <c r="B849" s="1" t="s">
        <v>88</v>
      </c>
      <c r="C849" s="21">
        <v>2012600097</v>
      </c>
      <c r="D849" s="21" t="s">
        <v>41</v>
      </c>
      <c r="E849" s="1" t="s">
        <v>1472</v>
      </c>
      <c r="F849" s="46">
        <v>46204</v>
      </c>
      <c r="G849" s="46" t="s">
        <v>1477</v>
      </c>
      <c r="H849" s="21" t="s">
        <v>47</v>
      </c>
    </row>
    <row r="850" spans="1:29">
      <c r="A850" s="21">
        <v>839</v>
      </c>
      <c r="B850" s="1" t="s">
        <v>88</v>
      </c>
      <c r="C850" s="21">
        <v>2012600100</v>
      </c>
      <c r="D850" s="21" t="s">
        <v>41</v>
      </c>
      <c r="E850" s="1" t="s">
        <v>1473</v>
      </c>
      <c r="F850" s="46">
        <v>46204</v>
      </c>
      <c r="G850" s="46" t="s">
        <v>1477</v>
      </c>
      <c r="H850" s="21" t="s">
        <v>47</v>
      </c>
    </row>
    <row r="851" spans="1:29">
      <c r="A851" s="21">
        <v>840</v>
      </c>
      <c r="B851" s="1" t="s">
        <v>88</v>
      </c>
      <c r="C851" s="21">
        <v>2012600103</v>
      </c>
      <c r="D851" s="21" t="s">
        <v>41</v>
      </c>
      <c r="E851" s="1" t="s">
        <v>1474</v>
      </c>
      <c r="F851" s="46">
        <v>46204</v>
      </c>
      <c r="G851" s="46" t="s">
        <v>1477</v>
      </c>
      <c r="H851" s="21" t="s">
        <v>47</v>
      </c>
    </row>
    <row r="852" spans="1:29">
      <c r="A852" s="21">
        <v>841</v>
      </c>
      <c r="B852" s="1" t="s">
        <v>88</v>
      </c>
      <c r="C852" s="21">
        <v>2012600106</v>
      </c>
      <c r="D852" s="21" t="s">
        <v>41</v>
      </c>
      <c r="E852" s="1" t="s">
        <v>1475</v>
      </c>
      <c r="F852" s="46">
        <v>46204</v>
      </c>
      <c r="G852" s="46" t="s">
        <v>1477</v>
      </c>
      <c r="H852" s="21" t="s">
        <v>47</v>
      </c>
    </row>
    <row r="853" spans="1:29">
      <c r="A853" s="21">
        <v>842</v>
      </c>
      <c r="B853" s="1" t="s">
        <v>88</v>
      </c>
      <c r="C853" s="21">
        <v>2012600113</v>
      </c>
      <c r="D853" s="21" t="s">
        <v>41</v>
      </c>
      <c r="E853" s="1" t="s">
        <v>1476</v>
      </c>
      <c r="F853" s="46">
        <v>46204</v>
      </c>
      <c r="G853" s="46" t="s">
        <v>1477</v>
      </c>
      <c r="H853" s="21" t="s">
        <v>47</v>
      </c>
    </row>
    <row r="854" spans="1:29">
      <c r="A854" s="21">
        <v>843</v>
      </c>
      <c r="B854" s="1" t="s">
        <v>88</v>
      </c>
      <c r="C854" s="21">
        <v>2012600202</v>
      </c>
      <c r="D854" s="21" t="s">
        <v>41</v>
      </c>
      <c r="E854" s="1" t="s">
        <v>1478</v>
      </c>
      <c r="F854" s="46">
        <v>46327</v>
      </c>
      <c r="G854" s="46" t="s">
        <v>1482</v>
      </c>
      <c r="H854" s="21" t="s">
        <v>47</v>
      </c>
      <c r="I854" s="52">
        <v>25066.47</v>
      </c>
      <c r="S854" s="21" t="s">
        <v>1477</v>
      </c>
      <c r="AC854" s="18" t="s">
        <v>26</v>
      </c>
    </row>
    <row r="855" spans="1:29">
      <c r="A855" s="21">
        <v>844</v>
      </c>
      <c r="B855" s="1" t="s">
        <v>88</v>
      </c>
      <c r="C855" s="21">
        <v>2012600205</v>
      </c>
      <c r="D855" s="21" t="s">
        <v>41</v>
      </c>
      <c r="E855" s="1" t="s">
        <v>1479</v>
      </c>
      <c r="F855" s="46">
        <v>46327</v>
      </c>
      <c r="G855" s="46" t="s">
        <v>1482</v>
      </c>
      <c r="H855" s="21" t="s">
        <v>47</v>
      </c>
      <c r="I855" s="52">
        <v>3097.5</v>
      </c>
      <c r="J855" s="52">
        <v>3570</v>
      </c>
      <c r="S855" s="46">
        <v>46357</v>
      </c>
      <c r="T855" s="21" t="s">
        <v>1587</v>
      </c>
      <c r="AC855" s="18" t="s">
        <v>26</v>
      </c>
    </row>
    <row r="856" spans="1:29">
      <c r="A856" s="21">
        <v>845</v>
      </c>
      <c r="B856" s="1" t="s">
        <v>88</v>
      </c>
      <c r="C856" s="21">
        <v>2012600209</v>
      </c>
      <c r="D856" s="21" t="s">
        <v>41</v>
      </c>
      <c r="E856" s="1" t="s">
        <v>1480</v>
      </c>
      <c r="F856" s="46">
        <v>46357</v>
      </c>
      <c r="G856" s="46" t="s">
        <v>1483</v>
      </c>
      <c r="H856" s="21" t="s">
        <v>47</v>
      </c>
      <c r="I856" s="52">
        <v>138000</v>
      </c>
      <c r="J856" s="52">
        <v>157500</v>
      </c>
      <c r="S856" s="21" t="s">
        <v>1477</v>
      </c>
      <c r="T856" s="21" t="s">
        <v>1477</v>
      </c>
      <c r="AC856" s="18" t="s">
        <v>26</v>
      </c>
    </row>
    <row r="857" spans="1:29">
      <c r="A857" s="21">
        <v>846</v>
      </c>
      <c r="B857" s="1" t="s">
        <v>88</v>
      </c>
      <c r="C857" s="21">
        <v>2012600212</v>
      </c>
      <c r="D857" s="21" t="s">
        <v>41</v>
      </c>
      <c r="E857" s="1" t="s">
        <v>1481</v>
      </c>
      <c r="F857" s="46">
        <v>46357</v>
      </c>
      <c r="G857" s="46" t="s">
        <v>1483</v>
      </c>
      <c r="H857" s="21" t="s">
        <v>47</v>
      </c>
      <c r="I857" s="52">
        <v>7140</v>
      </c>
      <c r="S857" s="46">
        <v>46357</v>
      </c>
      <c r="AC857" s="18" t="s">
        <v>26</v>
      </c>
    </row>
    <row r="858" spans="1:29">
      <c r="A858" s="21">
        <v>847</v>
      </c>
      <c r="B858" s="1" t="s">
        <v>95</v>
      </c>
      <c r="C858" s="21" t="s">
        <v>1484</v>
      </c>
      <c r="D858" s="21" t="s">
        <v>180</v>
      </c>
      <c r="E858" s="1" t="s">
        <v>1485</v>
      </c>
      <c r="F858" s="46">
        <v>46357</v>
      </c>
      <c r="G858" s="21" t="s">
        <v>1486</v>
      </c>
      <c r="H858" s="21" t="s">
        <v>47</v>
      </c>
      <c r="I858" s="52">
        <v>15112.33</v>
      </c>
      <c r="S858" s="21" t="s">
        <v>1477</v>
      </c>
      <c r="AC858" s="18" t="s">
        <v>26</v>
      </c>
    </row>
    <row r="859" spans="1:29">
      <c r="A859" s="21">
        <v>848</v>
      </c>
      <c r="B859" s="1" t="s">
        <v>291</v>
      </c>
      <c r="C859" s="21" t="s">
        <v>1487</v>
      </c>
      <c r="D859" s="21" t="s">
        <v>180</v>
      </c>
      <c r="E859" s="1" t="s">
        <v>1488</v>
      </c>
      <c r="F859" s="46">
        <v>46357</v>
      </c>
      <c r="G859" s="21" t="s">
        <v>1489</v>
      </c>
      <c r="H859" s="21" t="s">
        <v>47</v>
      </c>
      <c r="I859" s="52">
        <v>42963.69</v>
      </c>
      <c r="S859" s="21" t="s">
        <v>1588</v>
      </c>
      <c r="AC859" s="18" t="s">
        <v>26</v>
      </c>
    </row>
    <row r="860" spans="1:29">
      <c r="A860" s="21">
        <v>849</v>
      </c>
      <c r="B860" s="1" t="s">
        <v>91</v>
      </c>
      <c r="C860" s="21" t="s">
        <v>1490</v>
      </c>
      <c r="D860" s="21" t="s">
        <v>180</v>
      </c>
      <c r="E860" s="1" t="s">
        <v>1491</v>
      </c>
      <c r="F860" s="21" t="s">
        <v>1492</v>
      </c>
      <c r="H860" s="21" t="s">
        <v>47</v>
      </c>
      <c r="I860" s="52" t="s">
        <v>1589</v>
      </c>
      <c r="S860" s="21" t="s">
        <v>1586</v>
      </c>
      <c r="AC860" s="18" t="s">
        <v>26</v>
      </c>
    </row>
    <row r="861" spans="1:29">
      <c r="A861" s="21">
        <v>850</v>
      </c>
      <c r="B861" s="1" t="s">
        <v>31</v>
      </c>
      <c r="C861" s="21" t="s">
        <v>1493</v>
      </c>
      <c r="D861" s="21" t="s">
        <v>41</v>
      </c>
      <c r="E861" s="1" t="s">
        <v>1494</v>
      </c>
      <c r="F861" s="46">
        <v>46266</v>
      </c>
      <c r="G861" s="21" t="s">
        <v>1495</v>
      </c>
      <c r="H861" s="21" t="s">
        <v>47</v>
      </c>
    </row>
    <row r="862" spans="1:29">
      <c r="A862" s="21">
        <v>851</v>
      </c>
      <c r="B862" s="1" t="s">
        <v>31</v>
      </c>
      <c r="C862" s="21" t="s">
        <v>1496</v>
      </c>
      <c r="D862" s="21" t="s">
        <v>41</v>
      </c>
      <c r="E862" s="1" t="s">
        <v>1497</v>
      </c>
      <c r="F862" s="21" t="s">
        <v>1492</v>
      </c>
      <c r="G862" s="21" t="s">
        <v>1486</v>
      </c>
      <c r="H862" s="21" t="s">
        <v>47</v>
      </c>
      <c r="I862" s="52">
        <v>808.5</v>
      </c>
      <c r="J862" s="52">
        <v>3591</v>
      </c>
      <c r="K862" s="52">
        <v>3659.25</v>
      </c>
      <c r="S862" s="21" t="s">
        <v>1602</v>
      </c>
      <c r="T862" s="21" t="s">
        <v>1600</v>
      </c>
      <c r="U862" s="21" t="s">
        <v>1601</v>
      </c>
      <c r="AC862" s="18" t="s">
        <v>26</v>
      </c>
    </row>
    <row r="863" spans="1:29">
      <c r="A863" s="21">
        <v>852</v>
      </c>
      <c r="B863" s="1" t="s">
        <v>866</v>
      </c>
      <c r="C863" s="21" t="s">
        <v>1498</v>
      </c>
      <c r="D863" s="21" t="s">
        <v>180</v>
      </c>
      <c r="E863" s="1" t="s">
        <v>1499</v>
      </c>
      <c r="F863" s="21" t="s">
        <v>1489</v>
      </c>
      <c r="H863" s="21" t="s">
        <v>47</v>
      </c>
    </row>
    <row r="864" spans="1:29">
      <c r="A864" s="21">
        <v>853</v>
      </c>
      <c r="B864" s="1" t="s">
        <v>866</v>
      </c>
      <c r="C864" s="21" t="s">
        <v>1501</v>
      </c>
      <c r="D864" s="21" t="s">
        <v>180</v>
      </c>
      <c r="E864" s="1" t="s">
        <v>1500</v>
      </c>
      <c r="F864" s="21" t="s">
        <v>1489</v>
      </c>
      <c r="H864" s="21" t="s">
        <v>47</v>
      </c>
      <c r="I864" s="52">
        <v>6720</v>
      </c>
      <c r="S864" s="21" t="s">
        <v>1601</v>
      </c>
      <c r="AC864" s="18" t="s">
        <v>26</v>
      </c>
    </row>
    <row r="865" spans="1:29">
      <c r="A865" s="21">
        <v>854</v>
      </c>
      <c r="B865" s="1" t="s">
        <v>88</v>
      </c>
      <c r="C865" s="21">
        <v>2012600398</v>
      </c>
      <c r="D865" s="21" t="s">
        <v>41</v>
      </c>
      <c r="E865" s="1" t="s">
        <v>1502</v>
      </c>
      <c r="F865" s="46" t="s">
        <v>1486</v>
      </c>
      <c r="G865" s="21" t="s">
        <v>1508</v>
      </c>
      <c r="H865" s="21" t="s">
        <v>47</v>
      </c>
    </row>
    <row r="866" spans="1:29">
      <c r="A866" s="21">
        <v>855</v>
      </c>
      <c r="B866" s="1" t="s">
        <v>88</v>
      </c>
      <c r="C866" s="21">
        <v>2012600401</v>
      </c>
      <c r="D866" s="21" t="s">
        <v>41</v>
      </c>
      <c r="E866" s="1" t="s">
        <v>1503</v>
      </c>
      <c r="F866" s="46" t="s">
        <v>1486</v>
      </c>
      <c r="G866" s="21" t="s">
        <v>1508</v>
      </c>
      <c r="H866" s="21" t="s">
        <v>47</v>
      </c>
    </row>
    <row r="867" spans="1:29">
      <c r="A867" s="21">
        <v>856</v>
      </c>
      <c r="B867" s="1" t="s">
        <v>88</v>
      </c>
      <c r="C867" s="21">
        <v>2012600404</v>
      </c>
      <c r="D867" s="21" t="s">
        <v>41</v>
      </c>
      <c r="E867" s="1" t="s">
        <v>1504</v>
      </c>
      <c r="F867" s="46" t="s">
        <v>1486</v>
      </c>
      <c r="G867" s="21" t="s">
        <v>1508</v>
      </c>
      <c r="H867" s="21" t="s">
        <v>47</v>
      </c>
      <c r="I867" s="52">
        <v>3131.1</v>
      </c>
      <c r="J867" s="52" t="s">
        <v>1603</v>
      </c>
      <c r="K867" s="52">
        <v>708.75</v>
      </c>
      <c r="S867" s="21" t="s">
        <v>1587</v>
      </c>
      <c r="T867" s="21" t="s">
        <v>1587</v>
      </c>
      <c r="U867" s="21" t="s">
        <v>1587</v>
      </c>
      <c r="AC867" s="18" t="s">
        <v>26</v>
      </c>
    </row>
    <row r="868" spans="1:29">
      <c r="A868" s="21">
        <v>857</v>
      </c>
      <c r="B868" s="1" t="s">
        <v>88</v>
      </c>
      <c r="C868" s="21">
        <v>2012600407</v>
      </c>
      <c r="D868" s="21" t="s">
        <v>41</v>
      </c>
      <c r="E868" s="1" t="s">
        <v>1505</v>
      </c>
      <c r="F868" s="46" t="s">
        <v>1486</v>
      </c>
      <c r="G868" s="21" t="s">
        <v>1508</v>
      </c>
      <c r="H868" s="21" t="s">
        <v>47</v>
      </c>
    </row>
    <row r="869" spans="1:29">
      <c r="A869" s="21">
        <v>858</v>
      </c>
      <c r="B869" s="1" t="s">
        <v>88</v>
      </c>
      <c r="C869" s="21">
        <v>2012600412</v>
      </c>
      <c r="D869" s="21" t="s">
        <v>41</v>
      </c>
      <c r="E869" s="1" t="s">
        <v>1506</v>
      </c>
      <c r="F869" s="46" t="s">
        <v>1486</v>
      </c>
      <c r="G869" s="21" t="s">
        <v>1508</v>
      </c>
      <c r="H869" s="21" t="s">
        <v>47</v>
      </c>
      <c r="I869" s="52">
        <v>30240</v>
      </c>
      <c r="J869" s="52">
        <v>33783.75</v>
      </c>
      <c r="K869" s="52">
        <v>40816.03</v>
      </c>
      <c r="S869" s="21" t="s">
        <v>1604</v>
      </c>
      <c r="T869" s="21" t="s">
        <v>1587</v>
      </c>
      <c r="U869" s="21" t="s">
        <v>1587</v>
      </c>
      <c r="AC869" s="18" t="s">
        <v>26</v>
      </c>
    </row>
    <row r="870" spans="1:29">
      <c r="A870" s="21">
        <v>859</v>
      </c>
      <c r="B870" s="1" t="s">
        <v>88</v>
      </c>
      <c r="C870" s="21">
        <v>2012600415</v>
      </c>
      <c r="D870" s="21" t="s">
        <v>41</v>
      </c>
      <c r="E870" s="1" t="s">
        <v>1507</v>
      </c>
      <c r="F870" s="46" t="s">
        <v>1486</v>
      </c>
      <c r="G870" s="21" t="s">
        <v>1508</v>
      </c>
      <c r="H870" s="21" t="s">
        <v>47</v>
      </c>
      <c r="I870" s="52">
        <v>20475</v>
      </c>
      <c r="J870" s="52">
        <v>8137.5</v>
      </c>
      <c r="K870" s="52">
        <v>21971.25</v>
      </c>
      <c r="S870" s="21" t="s">
        <v>1587</v>
      </c>
      <c r="T870" s="21" t="s">
        <v>1604</v>
      </c>
      <c r="U870" s="21" t="s">
        <v>1587</v>
      </c>
      <c r="AC870" s="18" t="s">
        <v>26</v>
      </c>
    </row>
    <row r="871" spans="1:29" ht="30">
      <c r="A871" s="21">
        <v>860</v>
      </c>
      <c r="B871" s="1" t="s">
        <v>91</v>
      </c>
      <c r="C871" s="21" t="s">
        <v>1509</v>
      </c>
      <c r="D871" s="21" t="s">
        <v>180</v>
      </c>
      <c r="E871" s="64" t="s">
        <v>1510</v>
      </c>
      <c r="F871" s="21" t="s">
        <v>1495</v>
      </c>
      <c r="H871" s="21" t="s">
        <v>47</v>
      </c>
    </row>
    <row r="872" spans="1:29" ht="30">
      <c r="A872" s="21">
        <v>861</v>
      </c>
      <c r="B872" s="1" t="s">
        <v>95</v>
      </c>
      <c r="C872" s="21" t="s">
        <v>1511</v>
      </c>
      <c r="D872" s="21" t="s">
        <v>180</v>
      </c>
      <c r="E872" s="64" t="s">
        <v>1512</v>
      </c>
      <c r="F872" s="21" t="s">
        <v>1513</v>
      </c>
      <c r="H872" s="21" t="s">
        <v>47</v>
      </c>
      <c r="I872" s="52">
        <v>840</v>
      </c>
      <c r="S872" s="21" t="s">
        <v>1587</v>
      </c>
      <c r="AC872" s="18" t="s">
        <v>26</v>
      </c>
    </row>
    <row r="873" spans="1:29">
      <c r="A873" s="21">
        <v>862</v>
      </c>
      <c r="B873" s="1" t="s">
        <v>88</v>
      </c>
      <c r="C873" s="21">
        <v>2012600444</v>
      </c>
      <c r="D873" s="21" t="s">
        <v>41</v>
      </c>
      <c r="E873" s="1" t="s">
        <v>1514</v>
      </c>
      <c r="F873" s="46" t="s">
        <v>1495</v>
      </c>
      <c r="G873" s="21" t="s">
        <v>1518</v>
      </c>
      <c r="H873" s="21" t="s">
        <v>47</v>
      </c>
      <c r="I873" s="52">
        <v>6300</v>
      </c>
      <c r="J873" s="52">
        <v>6300</v>
      </c>
      <c r="S873" s="21" t="s">
        <v>1606</v>
      </c>
      <c r="T873" s="21" t="s">
        <v>1605</v>
      </c>
      <c r="AC873" s="18" t="s">
        <v>26</v>
      </c>
    </row>
    <row r="874" spans="1:29">
      <c r="A874" s="21">
        <v>863</v>
      </c>
      <c r="B874" s="1" t="s">
        <v>88</v>
      </c>
      <c r="C874" s="21">
        <v>2012600447</v>
      </c>
      <c r="D874" s="21" t="s">
        <v>41</v>
      </c>
      <c r="E874" s="1" t="s">
        <v>1515</v>
      </c>
      <c r="F874" s="46" t="s">
        <v>1495</v>
      </c>
      <c r="G874" s="21" t="s">
        <v>1518</v>
      </c>
      <c r="H874" s="21" t="s">
        <v>47</v>
      </c>
      <c r="I874" s="52">
        <v>32077.5</v>
      </c>
      <c r="J874" s="52">
        <v>664.49</v>
      </c>
      <c r="K874" s="52">
        <v>16301.25</v>
      </c>
      <c r="S874" s="21" t="s">
        <v>1587</v>
      </c>
      <c r="T874" s="21" t="s">
        <v>1607</v>
      </c>
      <c r="U874" s="21" t="s">
        <v>1607</v>
      </c>
      <c r="AC874" s="18" t="s">
        <v>26</v>
      </c>
    </row>
    <row r="875" spans="1:29">
      <c r="A875" s="21">
        <v>864</v>
      </c>
      <c r="B875" s="1" t="s">
        <v>88</v>
      </c>
      <c r="C875" s="21">
        <v>2012600450</v>
      </c>
      <c r="D875" s="21" t="s">
        <v>41</v>
      </c>
      <c r="E875" s="1" t="s">
        <v>1516</v>
      </c>
      <c r="F875" s="46" t="s">
        <v>1495</v>
      </c>
      <c r="G875" s="21" t="s">
        <v>1518</v>
      </c>
      <c r="H875" s="21" t="s">
        <v>47</v>
      </c>
    </row>
    <row r="876" spans="1:29">
      <c r="A876" s="21">
        <v>865</v>
      </c>
      <c r="B876" s="1" t="s">
        <v>88</v>
      </c>
      <c r="C876" s="21">
        <v>2012600454</v>
      </c>
      <c r="D876" s="21" t="s">
        <v>41</v>
      </c>
      <c r="E876" s="1" t="s">
        <v>1517</v>
      </c>
      <c r="F876" s="46" t="s">
        <v>1495</v>
      </c>
      <c r="G876" s="21" t="s">
        <v>1518</v>
      </c>
      <c r="H876" s="21" t="s">
        <v>47</v>
      </c>
      <c r="I876" s="52">
        <v>11413.5</v>
      </c>
      <c r="S876" s="21" t="s">
        <v>1608</v>
      </c>
      <c r="AC876" s="18" t="s">
        <v>26</v>
      </c>
    </row>
    <row r="877" spans="1:29">
      <c r="A877" s="21">
        <v>866</v>
      </c>
      <c r="B877" s="1" t="s">
        <v>91</v>
      </c>
      <c r="C877" s="21" t="s">
        <v>1519</v>
      </c>
      <c r="D877" s="21" t="s">
        <v>180</v>
      </c>
      <c r="E877" s="1" t="s">
        <v>1520</v>
      </c>
      <c r="F877" s="21" t="s">
        <v>1521</v>
      </c>
      <c r="H877" s="21" t="s">
        <v>47</v>
      </c>
    </row>
    <row r="878" spans="1:29">
      <c r="A878" s="21">
        <v>867</v>
      </c>
      <c r="B878" s="1" t="s">
        <v>866</v>
      </c>
      <c r="C878" s="21" t="s">
        <v>1522</v>
      </c>
      <c r="D878" s="21" t="s">
        <v>180</v>
      </c>
      <c r="E878" s="1" t="s">
        <v>1523</v>
      </c>
      <c r="F878" s="21" t="s">
        <v>1521</v>
      </c>
      <c r="H878" s="21" t="s">
        <v>47</v>
      </c>
      <c r="I878" s="52">
        <v>238.71</v>
      </c>
      <c r="J878" s="52">
        <v>183.62</v>
      </c>
      <c r="S878" s="21" t="s">
        <v>1588</v>
      </c>
      <c r="T878" s="21" t="s">
        <v>1588</v>
      </c>
      <c r="AC878" s="18" t="s">
        <v>26</v>
      </c>
    </row>
    <row r="879" spans="1:29">
      <c r="A879" s="21">
        <v>872</v>
      </c>
      <c r="B879" s="1" t="s">
        <v>95</v>
      </c>
      <c r="C879" s="21" t="s">
        <v>1524</v>
      </c>
      <c r="D879" s="21" t="s">
        <v>180</v>
      </c>
      <c r="E879" s="1" t="s">
        <v>1525</v>
      </c>
      <c r="F879" s="21" t="s">
        <v>1508</v>
      </c>
      <c r="H879" s="21" t="s">
        <v>47</v>
      </c>
      <c r="I879" s="52">
        <v>2730</v>
      </c>
      <c r="J879" s="52">
        <v>1949.85</v>
      </c>
      <c r="K879" s="52">
        <v>3591</v>
      </c>
      <c r="S879" s="21" t="s">
        <v>1608</v>
      </c>
      <c r="T879" s="21" t="s">
        <v>1606</v>
      </c>
      <c r="U879" s="21" t="s">
        <v>1609</v>
      </c>
      <c r="AC879" s="18" t="s">
        <v>26</v>
      </c>
    </row>
    <row r="880" spans="1:29">
      <c r="A880" s="21">
        <v>873</v>
      </c>
      <c r="B880" s="1" t="s">
        <v>95</v>
      </c>
      <c r="C880" s="21" t="s">
        <v>1526</v>
      </c>
      <c r="D880" s="21" t="s">
        <v>180</v>
      </c>
      <c r="E880" s="1" t="s">
        <v>1527</v>
      </c>
      <c r="F880" s="21" t="s">
        <v>1508</v>
      </c>
      <c r="H880" s="21" t="s">
        <v>47</v>
      </c>
    </row>
    <row r="881" spans="1:29">
      <c r="A881" s="21">
        <v>874</v>
      </c>
      <c r="B881" s="1" t="s">
        <v>91</v>
      </c>
      <c r="C881" s="21" t="s">
        <v>1528</v>
      </c>
      <c r="D881" s="21" t="s">
        <v>180</v>
      </c>
      <c r="E881" s="1" t="s">
        <v>1529</v>
      </c>
      <c r="F881" s="21" t="s">
        <v>1530</v>
      </c>
      <c r="H881" s="21" t="s">
        <v>47</v>
      </c>
    </row>
    <row r="882" spans="1:29">
      <c r="A882" s="21">
        <v>875</v>
      </c>
      <c r="B882" s="1" t="s">
        <v>95</v>
      </c>
      <c r="C882" s="21" t="s">
        <v>1531</v>
      </c>
      <c r="D882" s="21" t="s">
        <v>180</v>
      </c>
      <c r="E882" s="1" t="s">
        <v>1532</v>
      </c>
      <c r="F882" s="21" t="s">
        <v>1530</v>
      </c>
      <c r="H882" s="21" t="s">
        <v>47</v>
      </c>
      <c r="I882" s="52">
        <v>176.4</v>
      </c>
      <c r="J882" s="52">
        <v>17533.02</v>
      </c>
      <c r="K882" s="1"/>
      <c r="S882" s="46">
        <v>46055</v>
      </c>
      <c r="T882" s="46">
        <v>46083</v>
      </c>
      <c r="U882" s="1"/>
      <c r="AC882" s="18" t="s">
        <v>26</v>
      </c>
    </row>
    <row r="883" spans="1:29">
      <c r="A883" s="21">
        <v>876</v>
      </c>
      <c r="B883" s="1" t="s">
        <v>95</v>
      </c>
      <c r="C883" s="21" t="s">
        <v>1533</v>
      </c>
      <c r="D883" s="21" t="s">
        <v>180</v>
      </c>
      <c r="E883" s="1" t="s">
        <v>1534</v>
      </c>
      <c r="F883" s="21" t="s">
        <v>1535</v>
      </c>
      <c r="H883" s="21" t="s">
        <v>47</v>
      </c>
      <c r="I883" s="52">
        <v>68.35499999999999</v>
      </c>
      <c r="J883" s="52">
        <v>592.37</v>
      </c>
      <c r="K883" s="52">
        <v>84</v>
      </c>
      <c r="S883" s="46">
        <v>46055</v>
      </c>
      <c r="T883" s="46">
        <v>46083</v>
      </c>
      <c r="U883" s="21" t="s">
        <v>1614</v>
      </c>
      <c r="AC883" s="18" t="s">
        <v>26</v>
      </c>
    </row>
    <row r="884" spans="1:29">
      <c r="A884" s="21">
        <v>877</v>
      </c>
      <c r="B884" s="1" t="s">
        <v>88</v>
      </c>
      <c r="C884" s="21">
        <v>2012600624</v>
      </c>
      <c r="D884" s="21" t="s">
        <v>41</v>
      </c>
      <c r="E884" s="1" t="s">
        <v>1536</v>
      </c>
      <c r="F884" s="21" t="s">
        <v>1539</v>
      </c>
      <c r="G884" s="46">
        <v>46144</v>
      </c>
      <c r="H884" s="21" t="s">
        <v>47</v>
      </c>
    </row>
    <row r="885" spans="1:29">
      <c r="A885" s="21">
        <v>878</v>
      </c>
      <c r="B885" s="1" t="s">
        <v>88</v>
      </c>
      <c r="C885" s="21">
        <v>2012600633</v>
      </c>
      <c r="D885" s="21" t="s">
        <v>41</v>
      </c>
      <c r="E885" s="1" t="s">
        <v>1537</v>
      </c>
      <c r="F885" s="21" t="s">
        <v>1539</v>
      </c>
      <c r="G885" s="46">
        <v>46144</v>
      </c>
      <c r="H885" s="21" t="s">
        <v>47</v>
      </c>
    </row>
    <row r="886" spans="1:29">
      <c r="A886" s="21">
        <v>879</v>
      </c>
      <c r="B886" s="1" t="s">
        <v>88</v>
      </c>
      <c r="C886" s="21">
        <v>2012600636</v>
      </c>
      <c r="D886" s="21" t="s">
        <v>41</v>
      </c>
      <c r="E886" s="1" t="s">
        <v>1538</v>
      </c>
      <c r="F886" s="21" t="s">
        <v>1539</v>
      </c>
      <c r="G886" s="46">
        <v>46144</v>
      </c>
      <c r="H886" s="21" t="s">
        <v>47</v>
      </c>
    </row>
    <row r="887" spans="1:29">
      <c r="A887" s="21">
        <v>880</v>
      </c>
      <c r="B887" s="1" t="s">
        <v>91</v>
      </c>
      <c r="C887" s="21" t="s">
        <v>1540</v>
      </c>
      <c r="D887" s="21" t="s">
        <v>180</v>
      </c>
      <c r="E887" s="1" t="s">
        <v>1541</v>
      </c>
      <c r="F887" s="46">
        <v>46055</v>
      </c>
      <c r="H887" s="21" t="s">
        <v>47</v>
      </c>
    </row>
    <row r="888" spans="1:29" ht="45">
      <c r="A888" s="21">
        <v>881</v>
      </c>
      <c r="B888" s="1" t="s">
        <v>1544</v>
      </c>
      <c r="C888" s="21" t="s">
        <v>1542</v>
      </c>
      <c r="D888" s="21" t="s">
        <v>180</v>
      </c>
      <c r="E888" s="64" t="s">
        <v>1543</v>
      </c>
      <c r="F888" s="46">
        <v>46083</v>
      </c>
      <c r="H888" s="21" t="s">
        <v>47</v>
      </c>
      <c r="I888" s="52">
        <v>79320</v>
      </c>
      <c r="S888" s="46">
        <v>46144</v>
      </c>
      <c r="AC888" s="18" t="s">
        <v>26</v>
      </c>
    </row>
    <row r="889" spans="1:29">
      <c r="A889" s="21">
        <v>882</v>
      </c>
      <c r="B889" s="1" t="s">
        <v>1547</v>
      </c>
      <c r="C889" s="21" t="s">
        <v>1545</v>
      </c>
      <c r="D889" s="21" t="s">
        <v>180</v>
      </c>
      <c r="E889" s="1" t="s">
        <v>1546</v>
      </c>
      <c r="F889" s="46">
        <v>46114</v>
      </c>
      <c r="H889" s="21" t="s">
        <v>47</v>
      </c>
    </row>
    <row r="890" spans="1:29">
      <c r="A890" s="21">
        <v>883</v>
      </c>
      <c r="B890" s="1" t="s">
        <v>88</v>
      </c>
      <c r="C890" s="21">
        <v>2012600669</v>
      </c>
      <c r="D890" s="21" t="s">
        <v>41</v>
      </c>
      <c r="E890" s="1" t="s">
        <v>1548</v>
      </c>
      <c r="F890" s="46">
        <v>46114</v>
      </c>
      <c r="G890" s="46">
        <v>46297</v>
      </c>
      <c r="H890" s="21" t="s">
        <v>47</v>
      </c>
      <c r="I890" s="52">
        <v>7815</v>
      </c>
      <c r="J890" s="52">
        <v>7425.6</v>
      </c>
      <c r="S890" s="46">
        <v>46144</v>
      </c>
      <c r="T890" s="46">
        <v>46175</v>
      </c>
      <c r="AC890" s="18" t="s">
        <v>26</v>
      </c>
    </row>
    <row r="891" spans="1:29">
      <c r="A891" s="21">
        <v>884</v>
      </c>
      <c r="B891" s="1" t="s">
        <v>88</v>
      </c>
      <c r="C891" s="21">
        <v>2012600679</v>
      </c>
      <c r="D891" s="21" t="s">
        <v>41</v>
      </c>
      <c r="E891" s="1" t="s">
        <v>1549</v>
      </c>
      <c r="F891" s="46">
        <v>46114</v>
      </c>
      <c r="G891" s="46">
        <v>46297</v>
      </c>
      <c r="H891" s="21" t="s">
        <v>47</v>
      </c>
    </row>
    <row r="892" spans="1:29">
      <c r="A892" s="21">
        <v>885</v>
      </c>
      <c r="B892" s="1" t="s">
        <v>88</v>
      </c>
      <c r="C892" s="21">
        <v>2012600681</v>
      </c>
      <c r="D892" s="21" t="s">
        <v>41</v>
      </c>
      <c r="E892" s="1" t="s">
        <v>1550</v>
      </c>
      <c r="F892" s="46">
        <v>46114</v>
      </c>
      <c r="G892" s="46">
        <v>46297</v>
      </c>
      <c r="H892" s="21" t="s">
        <v>47</v>
      </c>
    </row>
    <row r="893" spans="1:29">
      <c r="A893" s="21">
        <v>886</v>
      </c>
      <c r="B893" s="1" t="s">
        <v>88</v>
      </c>
      <c r="C893" s="21">
        <v>2012600685</v>
      </c>
      <c r="D893" s="21" t="s">
        <v>41</v>
      </c>
      <c r="E893" s="1" t="s">
        <v>1551</v>
      </c>
      <c r="F893" s="46">
        <v>46144</v>
      </c>
      <c r="G893" s="46">
        <v>46328</v>
      </c>
      <c r="H893" s="21" t="s">
        <v>47</v>
      </c>
      <c r="I893" s="52">
        <v>18510.689999999999</v>
      </c>
      <c r="J893" s="52">
        <v>33580</v>
      </c>
      <c r="K893" s="52">
        <v>28455.14</v>
      </c>
      <c r="S893" s="46">
        <v>46144</v>
      </c>
      <c r="T893" s="46">
        <v>46328</v>
      </c>
      <c r="U893" s="21" t="s">
        <v>1594</v>
      </c>
      <c r="AC893" s="18" t="s">
        <v>26</v>
      </c>
    </row>
    <row r="894" spans="1:29">
      <c r="A894" s="21">
        <v>887</v>
      </c>
      <c r="B894" s="1" t="s">
        <v>88</v>
      </c>
      <c r="C894" s="21">
        <v>2012600730</v>
      </c>
      <c r="D894" s="21" t="s">
        <v>41</v>
      </c>
      <c r="E894" s="1" t="s">
        <v>1554</v>
      </c>
      <c r="F894" s="46">
        <v>46267</v>
      </c>
      <c r="G894" s="46" t="s">
        <v>1560</v>
      </c>
      <c r="H894" s="21" t="s">
        <v>47</v>
      </c>
      <c r="I894" s="52">
        <v>3150</v>
      </c>
      <c r="J894" s="52">
        <v>1689.35</v>
      </c>
      <c r="S894" s="46">
        <v>46328</v>
      </c>
      <c r="T894" s="46">
        <v>46328</v>
      </c>
      <c r="AC894" s="18" t="s">
        <v>26</v>
      </c>
    </row>
    <row r="895" spans="1:29">
      <c r="A895" s="21">
        <v>888</v>
      </c>
      <c r="B895" s="1" t="s">
        <v>88</v>
      </c>
      <c r="C895" s="21">
        <v>2012600733</v>
      </c>
      <c r="D895" s="21" t="s">
        <v>41</v>
      </c>
      <c r="E895" s="1" t="s">
        <v>1555</v>
      </c>
      <c r="F895" s="46">
        <v>46267</v>
      </c>
      <c r="G895" s="46" t="s">
        <v>1560</v>
      </c>
      <c r="H895" s="21" t="s">
        <v>47</v>
      </c>
      <c r="I895" s="52">
        <v>20015.12</v>
      </c>
      <c r="S895" s="46">
        <v>46328</v>
      </c>
      <c r="AC895" s="18" t="s">
        <v>26</v>
      </c>
    </row>
    <row r="896" spans="1:29">
      <c r="A896" s="21">
        <v>889</v>
      </c>
      <c r="B896" s="1" t="s">
        <v>88</v>
      </c>
      <c r="C896" s="21">
        <v>2012600736</v>
      </c>
      <c r="D896" s="21" t="s">
        <v>41</v>
      </c>
      <c r="E896" s="1" t="s">
        <v>1556</v>
      </c>
      <c r="F896" s="46">
        <v>46267</v>
      </c>
      <c r="G896" s="46" t="s">
        <v>1560</v>
      </c>
      <c r="H896" s="21" t="s">
        <v>47</v>
      </c>
      <c r="I896" s="52">
        <v>18900</v>
      </c>
      <c r="J896" s="52">
        <v>1417.5</v>
      </c>
      <c r="K896" s="85">
        <v>35280</v>
      </c>
      <c r="L896" s="52">
        <v>514.5</v>
      </c>
      <c r="M896" s="52">
        <v>35280</v>
      </c>
      <c r="N896" s="52">
        <v>14820</v>
      </c>
      <c r="S896" s="46">
        <v>46328</v>
      </c>
      <c r="T896" s="46">
        <v>46328</v>
      </c>
      <c r="U896" s="46">
        <v>46328</v>
      </c>
      <c r="V896" s="46">
        <v>46328</v>
      </c>
      <c r="W896" s="46">
        <v>46328</v>
      </c>
      <c r="X896" s="46">
        <v>46358</v>
      </c>
      <c r="AC896" s="18" t="s">
        <v>26</v>
      </c>
    </row>
    <row r="897" spans="1:29">
      <c r="A897" s="21">
        <v>890</v>
      </c>
      <c r="B897" s="1" t="s">
        <v>88</v>
      </c>
      <c r="C897" s="21">
        <v>2012600739</v>
      </c>
      <c r="D897" s="21" t="s">
        <v>41</v>
      </c>
      <c r="E897" s="1" t="s">
        <v>1557</v>
      </c>
      <c r="F897" s="46">
        <v>46267</v>
      </c>
      <c r="G897" s="46" t="s">
        <v>1560</v>
      </c>
      <c r="H897" s="21" t="s">
        <v>47</v>
      </c>
      <c r="I897" s="52">
        <v>10080</v>
      </c>
      <c r="J897" s="52">
        <v>9750</v>
      </c>
      <c r="K897" s="52">
        <v>6750</v>
      </c>
      <c r="L897" s="52">
        <v>20200</v>
      </c>
      <c r="S897" s="46">
        <v>46328</v>
      </c>
      <c r="T897" s="46">
        <v>46328</v>
      </c>
      <c r="U897" s="46">
        <v>46328</v>
      </c>
      <c r="V897" s="46">
        <v>46358</v>
      </c>
      <c r="AC897" s="18" t="s">
        <v>26</v>
      </c>
    </row>
    <row r="898" spans="1:29">
      <c r="A898" s="21">
        <v>891</v>
      </c>
      <c r="B898" s="1" t="s">
        <v>88</v>
      </c>
      <c r="C898" s="21">
        <v>2012600742</v>
      </c>
      <c r="D898" s="21" t="s">
        <v>41</v>
      </c>
      <c r="E898" s="1" t="s">
        <v>1558</v>
      </c>
      <c r="F898" s="46">
        <v>46267</v>
      </c>
      <c r="G898" s="46" t="s">
        <v>1560</v>
      </c>
      <c r="H898" s="21" t="s">
        <v>47</v>
      </c>
      <c r="I898" s="52">
        <v>3885</v>
      </c>
      <c r="J898" s="52">
        <v>5409.54</v>
      </c>
      <c r="K898" s="52">
        <v>4898.63</v>
      </c>
      <c r="S898" s="46">
        <v>46358</v>
      </c>
      <c r="T898" s="21" t="s">
        <v>1560</v>
      </c>
      <c r="U898" s="21" t="s">
        <v>1612</v>
      </c>
      <c r="AC898" s="18" t="s">
        <v>26</v>
      </c>
    </row>
    <row r="899" spans="1:29">
      <c r="A899" s="21">
        <v>892</v>
      </c>
      <c r="B899" s="1" t="s">
        <v>88</v>
      </c>
      <c r="C899" s="21">
        <v>2012600745</v>
      </c>
      <c r="D899" s="21" t="s">
        <v>41</v>
      </c>
      <c r="E899" s="1" t="s">
        <v>1559</v>
      </c>
      <c r="F899" s="46">
        <v>46267</v>
      </c>
      <c r="G899" s="46" t="s">
        <v>1560</v>
      </c>
      <c r="H899" s="21" t="s">
        <v>47</v>
      </c>
    </row>
    <row r="900" spans="1:29">
      <c r="A900" s="21">
        <v>893</v>
      </c>
      <c r="B900" s="1" t="s">
        <v>91</v>
      </c>
      <c r="C900" s="21" t="s">
        <v>1561</v>
      </c>
      <c r="D900" s="21" t="s">
        <v>180</v>
      </c>
      <c r="E900" s="1" t="s">
        <v>1562</v>
      </c>
      <c r="F900" s="46">
        <v>46328</v>
      </c>
      <c r="H900" s="21" t="s">
        <v>47</v>
      </c>
      <c r="I900" s="52">
        <v>2244.6374999999998</v>
      </c>
      <c r="S900" s="21" t="s">
        <v>1560</v>
      </c>
      <c r="AC900" s="18" t="s">
        <v>26</v>
      </c>
    </row>
    <row r="901" spans="1:29">
      <c r="A901" s="21">
        <v>894</v>
      </c>
      <c r="B901" s="1" t="s">
        <v>91</v>
      </c>
      <c r="C901" s="21" t="s">
        <v>1563</v>
      </c>
      <c r="D901" s="21" t="s">
        <v>180</v>
      </c>
      <c r="E901" s="1" t="s">
        <v>1564</v>
      </c>
      <c r="F901" s="46">
        <v>46328</v>
      </c>
      <c r="H901" s="21" t="s">
        <v>47</v>
      </c>
      <c r="I901" s="52">
        <v>15225</v>
      </c>
      <c r="S901" s="21" t="s">
        <v>1560</v>
      </c>
      <c r="AC901" s="18" t="s">
        <v>26</v>
      </c>
    </row>
    <row r="902" spans="1:29">
      <c r="A902" s="21">
        <v>895</v>
      </c>
      <c r="B902" s="1" t="s">
        <v>88</v>
      </c>
      <c r="C902" s="21">
        <v>2012600778</v>
      </c>
      <c r="D902" s="21" t="s">
        <v>41</v>
      </c>
      <c r="E902" s="1" t="s">
        <v>1590</v>
      </c>
      <c r="F902" s="46">
        <v>46328</v>
      </c>
      <c r="G902" s="21" t="s">
        <v>1594</v>
      </c>
      <c r="H902" s="21" t="s">
        <v>47</v>
      </c>
      <c r="I902" s="52">
        <v>10500</v>
      </c>
      <c r="S902" s="21" t="s">
        <v>1610</v>
      </c>
    </row>
    <row r="903" spans="1:29">
      <c r="A903" s="21">
        <v>896</v>
      </c>
      <c r="B903" s="1" t="s">
        <v>88</v>
      </c>
      <c r="C903" s="21">
        <v>2012600779</v>
      </c>
      <c r="D903" s="21" t="s">
        <v>41</v>
      </c>
      <c r="E903" s="1" t="s">
        <v>1591</v>
      </c>
      <c r="F903" s="46">
        <v>46328</v>
      </c>
      <c r="G903" s="21" t="s">
        <v>1594</v>
      </c>
      <c r="H903" s="21" t="s">
        <v>47</v>
      </c>
    </row>
    <row r="904" spans="1:29">
      <c r="A904" s="21">
        <v>897</v>
      </c>
      <c r="B904" s="1" t="s">
        <v>88</v>
      </c>
      <c r="C904" s="66">
        <v>2012600783</v>
      </c>
      <c r="D904" s="21" t="s">
        <v>41</v>
      </c>
      <c r="E904" s="1" t="s">
        <v>1592</v>
      </c>
      <c r="F904" s="46">
        <v>46358</v>
      </c>
      <c r="G904" s="21" t="s">
        <v>1595</v>
      </c>
      <c r="H904" s="21" t="s">
        <v>47</v>
      </c>
    </row>
    <row r="905" spans="1:29">
      <c r="A905" s="21">
        <v>898</v>
      </c>
      <c r="B905" s="1" t="s">
        <v>88</v>
      </c>
      <c r="C905" s="21">
        <v>2012600784</v>
      </c>
      <c r="D905" s="21" t="s">
        <v>41</v>
      </c>
      <c r="E905" s="1" t="s">
        <v>1593</v>
      </c>
      <c r="F905" s="46">
        <v>46358</v>
      </c>
      <c r="G905" s="21" t="s">
        <v>1595</v>
      </c>
      <c r="H905" s="21" t="s">
        <v>47</v>
      </c>
      <c r="I905" s="52">
        <v>162099</v>
      </c>
      <c r="S905" s="21" t="s">
        <v>1594</v>
      </c>
      <c r="AC905" s="18" t="s">
        <v>26</v>
      </c>
    </row>
    <row r="906" spans="1:29">
      <c r="A906" s="21">
        <v>899</v>
      </c>
      <c r="B906" s="1" t="s">
        <v>88</v>
      </c>
      <c r="C906" s="21">
        <v>2012600782</v>
      </c>
      <c r="D906" s="21" t="s">
        <v>41</v>
      </c>
      <c r="E906" s="1" t="s">
        <v>1596</v>
      </c>
      <c r="F906" s="46">
        <v>46328</v>
      </c>
      <c r="G906" s="21" t="s">
        <v>1594</v>
      </c>
      <c r="H906" s="21" t="s">
        <v>47</v>
      </c>
      <c r="I906" s="52">
        <v>7875</v>
      </c>
      <c r="J906" s="52">
        <v>14280</v>
      </c>
      <c r="S906" s="21" t="s">
        <v>1610</v>
      </c>
      <c r="T906" s="21" t="s">
        <v>1621</v>
      </c>
      <c r="AC906" s="18" t="s">
        <v>26</v>
      </c>
    </row>
    <row r="907" spans="1:29">
      <c r="A907" s="21">
        <v>900</v>
      </c>
      <c r="B907" s="1" t="s">
        <v>88</v>
      </c>
      <c r="C907" s="21">
        <v>2012600787</v>
      </c>
      <c r="D907" s="21" t="s">
        <v>41</v>
      </c>
      <c r="E907" s="1" t="s">
        <v>1597</v>
      </c>
      <c r="F907" s="46">
        <v>46358</v>
      </c>
      <c r="G907" s="21" t="s">
        <v>1595</v>
      </c>
      <c r="H907" s="21" t="s">
        <v>47</v>
      </c>
      <c r="I907" s="52">
        <v>1081.5</v>
      </c>
      <c r="J907" s="52">
        <v>4322.5600000000004</v>
      </c>
      <c r="S907" s="21" t="s">
        <v>1610</v>
      </c>
      <c r="T907" s="21" t="s">
        <v>1594</v>
      </c>
      <c r="AC907" s="18" t="s">
        <v>26</v>
      </c>
    </row>
    <row r="908" spans="1:29">
      <c r="A908" s="21">
        <v>901</v>
      </c>
      <c r="B908" s="1" t="s">
        <v>88</v>
      </c>
      <c r="C908" s="21">
        <v>2012600790</v>
      </c>
      <c r="D908" s="21" t="s">
        <v>41</v>
      </c>
      <c r="E908" s="1" t="s">
        <v>1598</v>
      </c>
      <c r="F908" s="46">
        <v>46358</v>
      </c>
      <c r="G908" s="21" t="s">
        <v>1595</v>
      </c>
      <c r="H908" s="21" t="s">
        <v>47</v>
      </c>
      <c r="I908" s="52" t="s">
        <v>1620</v>
      </c>
      <c r="S908" s="21" t="s">
        <v>1621</v>
      </c>
      <c r="AC908" s="19" t="s">
        <v>27</v>
      </c>
    </row>
    <row r="909" spans="1:29">
      <c r="A909" s="21">
        <v>902</v>
      </c>
      <c r="B909" s="1" t="s">
        <v>88</v>
      </c>
      <c r="C909" s="21">
        <v>2012600792</v>
      </c>
      <c r="D909" s="21" t="s">
        <v>41</v>
      </c>
      <c r="E909" s="1" t="s">
        <v>1599</v>
      </c>
      <c r="F909" s="46">
        <v>46358</v>
      </c>
      <c r="G909" s="21" t="s">
        <v>1595</v>
      </c>
      <c r="H909" s="21" t="s">
        <v>47</v>
      </c>
      <c r="I909" s="52">
        <v>5192.8</v>
      </c>
      <c r="S909" s="21" t="s">
        <v>1612</v>
      </c>
      <c r="AC909" s="18" t="s">
        <v>26</v>
      </c>
    </row>
    <row r="910" spans="1:29">
      <c r="A910" s="21">
        <v>903</v>
      </c>
      <c r="B910" s="1" t="s">
        <v>91</v>
      </c>
      <c r="C910" s="21" t="s">
        <v>1611</v>
      </c>
      <c r="D910" s="21" t="s">
        <v>180</v>
      </c>
      <c r="E910" s="1" t="s">
        <v>1379</v>
      </c>
      <c r="F910" s="21" t="s">
        <v>1612</v>
      </c>
      <c r="H910" s="21" t="s">
        <v>47</v>
      </c>
    </row>
    <row r="911" spans="1:29">
      <c r="A911" s="21">
        <v>904</v>
      </c>
      <c r="B911" s="1" t="s">
        <v>866</v>
      </c>
      <c r="C911" s="21" t="s">
        <v>1613</v>
      </c>
      <c r="D911" s="21" t="s">
        <v>180</v>
      </c>
      <c r="E911" s="1" t="s">
        <v>1523</v>
      </c>
      <c r="F911" s="21" t="s">
        <v>1614</v>
      </c>
      <c r="H911" s="21" t="s">
        <v>47</v>
      </c>
    </row>
    <row r="912" spans="1:29">
      <c r="A912" s="21">
        <v>905</v>
      </c>
      <c r="B912" s="1" t="s">
        <v>88</v>
      </c>
      <c r="C912" s="21">
        <v>2012600902</v>
      </c>
      <c r="D912" s="21" t="s">
        <v>41</v>
      </c>
      <c r="E912" s="1" t="s">
        <v>1615</v>
      </c>
      <c r="F912" s="46" t="s">
        <v>1595</v>
      </c>
      <c r="G912" s="21" t="s">
        <v>1619</v>
      </c>
      <c r="H912" s="21" t="s">
        <v>47</v>
      </c>
      <c r="I912" s="52">
        <v>311.85000000000002</v>
      </c>
      <c r="J912" s="52">
        <v>346.5</v>
      </c>
      <c r="S912" s="21" t="s">
        <v>1614</v>
      </c>
      <c r="T912" s="21" t="s">
        <v>1625</v>
      </c>
      <c r="AC912" s="18"/>
    </row>
    <row r="913" spans="1:29">
      <c r="A913" s="21">
        <v>906</v>
      </c>
      <c r="B913" s="1" t="s">
        <v>88</v>
      </c>
      <c r="C913" s="21">
        <v>2012600905</v>
      </c>
      <c r="D913" s="21" t="s">
        <v>41</v>
      </c>
      <c r="E913" s="1" t="s">
        <v>1616</v>
      </c>
      <c r="F913" s="46" t="s">
        <v>1595</v>
      </c>
      <c r="G913" s="21" t="s">
        <v>1619</v>
      </c>
      <c r="H913" s="21" t="s">
        <v>47</v>
      </c>
      <c r="AC913" s="18"/>
    </row>
    <row r="914" spans="1:29">
      <c r="A914" s="21">
        <v>907</v>
      </c>
      <c r="B914" s="1" t="s">
        <v>88</v>
      </c>
      <c r="C914" s="21">
        <v>2012600908</v>
      </c>
      <c r="D914" s="21" t="s">
        <v>41</v>
      </c>
      <c r="E914" s="1" t="s">
        <v>1617</v>
      </c>
      <c r="F914" s="46" t="s">
        <v>1595</v>
      </c>
      <c r="G914" s="21" t="s">
        <v>1619</v>
      </c>
      <c r="H914" s="21" t="s">
        <v>47</v>
      </c>
      <c r="AC914" s="18"/>
    </row>
    <row r="915" spans="1:29">
      <c r="A915" s="21">
        <v>908</v>
      </c>
      <c r="B915" s="1" t="s">
        <v>88</v>
      </c>
      <c r="C915" s="21">
        <v>2012600912</v>
      </c>
      <c r="D915" s="21" t="s">
        <v>41</v>
      </c>
      <c r="E915" s="1" t="s">
        <v>1618</v>
      </c>
      <c r="F915" s="46" t="s">
        <v>1595</v>
      </c>
      <c r="G915" s="21" t="s">
        <v>1619</v>
      </c>
      <c r="H915" s="21" t="s">
        <v>47</v>
      </c>
      <c r="I915" s="52">
        <v>300</v>
      </c>
      <c r="S915" s="21" t="s">
        <v>1623</v>
      </c>
      <c r="AC915" s="18"/>
    </row>
    <row r="916" spans="1:29">
      <c r="A916" s="21">
        <v>909</v>
      </c>
      <c r="B916" s="1" t="s">
        <v>28</v>
      </c>
      <c r="C916" s="21">
        <v>6000136495</v>
      </c>
      <c r="D916" s="21" t="s">
        <v>41</v>
      </c>
      <c r="E916" s="1" t="s">
        <v>1622</v>
      </c>
      <c r="F916" s="46" t="s">
        <v>1614</v>
      </c>
      <c r="G916" s="21" t="s">
        <v>1624</v>
      </c>
      <c r="H916" s="21" t="s">
        <v>47</v>
      </c>
      <c r="AC916" s="18"/>
    </row>
    <row r="917" spans="1:29">
      <c r="A917" s="21">
        <v>910</v>
      </c>
      <c r="B917" s="1" t="s">
        <v>88</v>
      </c>
      <c r="C917" s="21">
        <v>2012600939</v>
      </c>
      <c r="D917" s="21" t="s">
        <v>41</v>
      </c>
      <c r="E917" s="1" t="s">
        <v>1626</v>
      </c>
      <c r="F917" s="46" t="s">
        <v>1623</v>
      </c>
      <c r="G917" s="21" t="s">
        <v>1628</v>
      </c>
      <c r="H917" s="21" t="s">
        <v>47</v>
      </c>
      <c r="AC917" s="18"/>
    </row>
    <row r="918" spans="1:29">
      <c r="A918" s="21">
        <v>911</v>
      </c>
      <c r="B918" s="1" t="s">
        <v>88</v>
      </c>
      <c r="C918" s="21">
        <v>2012600945</v>
      </c>
      <c r="D918" s="21" t="s">
        <v>41</v>
      </c>
      <c r="E918" s="1" t="s">
        <v>1627</v>
      </c>
      <c r="F918" s="46" t="s">
        <v>1623</v>
      </c>
      <c r="G918" s="21" t="s">
        <v>1628</v>
      </c>
      <c r="H918" s="21" t="s">
        <v>47</v>
      </c>
      <c r="I918" s="52">
        <v>5775</v>
      </c>
      <c r="S918" s="21" t="s">
        <v>1624</v>
      </c>
      <c r="AC918" s="18"/>
    </row>
    <row r="919" spans="1:29" ht="30">
      <c r="A919" s="21">
        <v>912</v>
      </c>
      <c r="B919" s="1" t="s">
        <v>866</v>
      </c>
      <c r="C919" s="21" t="s">
        <v>1629</v>
      </c>
      <c r="D919" s="21" t="s">
        <v>180</v>
      </c>
      <c r="E919" s="64" t="s">
        <v>1630</v>
      </c>
      <c r="F919" s="46" t="s">
        <v>1623</v>
      </c>
      <c r="H919" s="21" t="s">
        <v>47</v>
      </c>
      <c r="I919" s="52">
        <v>2310</v>
      </c>
      <c r="J919" s="52">
        <v>2285.54</v>
      </c>
      <c r="S919" s="21" t="s">
        <v>1619</v>
      </c>
      <c r="T919" s="21" t="s">
        <v>1624</v>
      </c>
    </row>
    <row r="920" spans="1:29">
      <c r="A920" s="21">
        <v>913</v>
      </c>
      <c r="B920" s="1" t="s">
        <v>91</v>
      </c>
      <c r="C920" s="21" t="s">
        <v>1631</v>
      </c>
      <c r="D920" s="21" t="s">
        <v>180</v>
      </c>
      <c r="E920" s="1" t="s">
        <v>1632</v>
      </c>
      <c r="F920" s="21" t="s">
        <v>1619</v>
      </c>
      <c r="H920" s="21" t="s">
        <v>47</v>
      </c>
      <c r="I920" s="52">
        <v>3300</v>
      </c>
      <c r="S920" s="21" t="s">
        <v>1624</v>
      </c>
    </row>
  </sheetData>
  <autoFilter ref="A11:AC916" xr:uid="{00000000-0009-0000-0000-000000000000}"/>
  <mergeCells count="14">
    <mergeCell ref="H10:H11"/>
    <mergeCell ref="AC10:AC11"/>
    <mergeCell ref="A8:B9"/>
    <mergeCell ref="C8:J9"/>
    <mergeCell ref="K8:X9"/>
    <mergeCell ref="A10:A11"/>
    <mergeCell ref="B10:B11"/>
    <mergeCell ref="C10:C11"/>
    <mergeCell ref="D10:D11"/>
    <mergeCell ref="E10:E11"/>
    <mergeCell ref="F10:F11"/>
    <mergeCell ref="G10:G11"/>
    <mergeCell ref="I10:R10"/>
    <mergeCell ref="S10:AB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BIDS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</dc:creator>
  <cp:lastModifiedBy>padiadarshan@outlook.com</cp:lastModifiedBy>
  <cp:lastPrinted>2025-09-10T11:09:56Z</cp:lastPrinted>
  <dcterms:created xsi:type="dcterms:W3CDTF">2024-11-15T06:19:32Z</dcterms:created>
  <dcterms:modified xsi:type="dcterms:W3CDTF">2026-02-26T11:30:14Z</dcterms:modified>
</cp:coreProperties>
</file>